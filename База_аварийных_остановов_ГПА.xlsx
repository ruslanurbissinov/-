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аза_данных" sheetId="1" state="visible" r:id="rId1"/>
    <sheet xmlns:r="http://schemas.openxmlformats.org/officeDocument/2006/relationships" name="Таблица_аварий" sheetId="2" state="visible" r:id="rId2"/>
    <sheet xmlns:r="http://schemas.openxmlformats.org/officeDocument/2006/relationships" name="Сводная_таблица" sheetId="3" state="visible" r:id="rId3"/>
    <sheet xmlns:r="http://schemas.openxmlformats.org/officeDocument/2006/relationships" name="Инциденты_детально" sheetId="4" state="visible" r:id="rId4"/>
    <sheet xmlns:r="http://schemas.openxmlformats.org/officeDocument/2006/relationships" name="Классификатор_причин" sheetId="5" state="visible" r:id="rId5"/>
    <sheet xmlns:r="http://schemas.openxmlformats.org/officeDocument/2006/relationships" name="Устранение_дефектов" sheetId="6" state="visible" r:id="rId6"/>
    <sheet xmlns:r="http://schemas.openxmlformats.org/officeDocument/2006/relationships" name="Источни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2D3748"/>
      <sz val="11"/>
    </font>
    <font>
      <name val="Arial"/>
      <sz val="11"/>
    </font>
    <font>
      <name val="Arial"/>
      <i val="1"/>
      <color rgb="FF718096"/>
      <sz val="8"/>
    </font>
    <font>
      <name val="Arial"/>
      <i val="1"/>
      <color rgb="FFC0392B"/>
      <sz val="9"/>
    </font>
    <font>
      <name val="Arial"/>
      <color rgb="FF1155CC"/>
      <sz val="11"/>
      <u val="single"/>
    </font>
    <font>
      <name val="Arial"/>
      <b val="1"/>
      <sz val="11"/>
    </font>
    <font>
      <name val="Arial"/>
      <b val="1"/>
      <color rgb="FFFFFFFF"/>
      <sz val="13"/>
    </font>
    <font>
      <name val="Arial"/>
      <b val="1"/>
      <color rgb="FF2D3748"/>
      <sz val="10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i val="1"/>
      <sz val="11"/>
    </font>
    <font>
      <name val="Arial"/>
      <b val="1"/>
      <color rgb="FF0F6E56"/>
      <sz val="10"/>
    </font>
    <font>
      <name val="Arial"/>
      <color rgb="FF1155CC"/>
      <sz val="10"/>
      <u val="single"/>
    </font>
  </fonts>
  <fills count="4">
    <fill>
      <patternFill/>
    </fill>
    <fill>
      <patternFill patternType="gray125"/>
    </fill>
    <fill>
      <patternFill patternType="solid">
        <fgColor rgb="FF1A365D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4" fontId="13" fillId="0" borderId="1" applyAlignment="1" pivotButton="0" quotePrefix="0" xfId="0">
      <alignment vertical="center" wrapText="1"/>
    </xf>
    <xf numFmtId="0" fontId="7" fillId="3" borderId="1" pivotButton="0" quotePrefix="0" xfId="0"/>
    <xf numFmtId="164" fontId="7" fillId="3" borderId="1" pivotButton="0" quotePrefix="0" xfId="0"/>
    <xf numFmtId="0" fontId="1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act019_work.pdf" TargetMode="External" Id="rId1"/><Relationship Type="http://schemas.openxmlformats.org/officeDocument/2006/relationships/hyperlink" Target="act16_work.pdf" TargetMode="External" Id="rId2"/><Relationship Type="http://schemas.openxmlformats.org/officeDocument/2006/relationships/hyperlink" Target="act17_defect.pdf" TargetMode="External" Id="rId3"/><Relationship Type="http://schemas.openxmlformats.org/officeDocument/2006/relationships/hyperlink" Target="act18_work.pdf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3" customWidth="1" min="4" max="4"/>
    <col width="12" customWidth="1" min="5" max="5"/>
    <col width="55" customWidth="1" min="6" max="6"/>
  </cols>
  <sheetData>
    <row r="1" ht="28" customHeight="1">
      <c r="A1" s="1" t="inlineStr">
        <is>
          <t>БАЗА ДАННЫХ ПО АВАРИЙНЫМ ОСТАНОВАМ ГПА</t>
        </is>
      </c>
    </row>
    <row r="3">
      <c r="A3" s="2" t="inlineStr">
        <is>
          <t>Год</t>
        </is>
      </c>
      <c r="B3" s="2" t="inlineStr">
        <is>
          <t>ГПА</t>
        </is>
      </c>
      <c r="C3" s="2" t="inlineStr">
        <is>
          <t>Кол-во остановов</t>
        </is>
      </c>
      <c r="D3" s="2" t="inlineStr">
        <is>
          <t>Дата</t>
        </is>
      </c>
      <c r="E3" s="2" t="inlineStr">
        <is>
          <t>№ Акта</t>
        </is>
      </c>
      <c r="F3" s="2" t="inlineStr">
        <is>
          <t>Источник (файл)</t>
        </is>
      </c>
    </row>
    <row r="4">
      <c r="A4" s="3" t="n">
        <v>2020</v>
      </c>
      <c r="B4" s="3" t="inlineStr">
        <is>
          <t>ГПА №2</t>
        </is>
      </c>
      <c r="C4" s="3" t="n">
        <v>1</v>
      </c>
      <c r="D4" s="3" t="inlineStr">
        <is>
          <t>10.06.2020</t>
        </is>
      </c>
      <c r="E4" s="3" t="inlineStr">
        <is>
          <t>2020-№1</t>
        </is>
      </c>
      <c r="F4" s="4" t="inlineStr">
        <is>
          <t>act01_investigation.pdf</t>
        </is>
      </c>
    </row>
    <row r="5">
      <c r="A5" s="3" t="n">
        <v>2022</v>
      </c>
      <c r="B5" s="3" t="inlineStr">
        <is>
          <t>ГПА №3</t>
        </is>
      </c>
      <c r="C5" s="3" t="n">
        <v>1</v>
      </c>
      <c r="D5" s="3" t="inlineStr">
        <is>
          <t>01.02.2022</t>
        </is>
      </c>
      <c r="E5" s="3" t="inlineStr">
        <is>
          <t>2022-№1</t>
        </is>
      </c>
      <c r="F5" s="4" t="inlineStr">
        <is>
          <t>act02_investigation.pdf</t>
        </is>
      </c>
    </row>
    <row r="6">
      <c r="A6" s="3" t="n">
        <v>2022</v>
      </c>
      <c r="B6" s="3" t="inlineStr">
        <is>
          <t>ГПА №3</t>
        </is>
      </c>
      <c r="C6" s="3" t="n">
        <v>1</v>
      </c>
      <c r="D6" s="3" t="inlineStr">
        <is>
          <t>11.03.2022</t>
        </is>
      </c>
      <c r="E6" s="3" t="inlineStr">
        <is>
          <t>2022-№2</t>
        </is>
      </c>
      <c r="F6" s="4" t="inlineStr">
        <is>
          <t>act03_investigation.pdf</t>
        </is>
      </c>
    </row>
    <row r="7">
      <c r="A7" s="3" t="n">
        <v>2022</v>
      </c>
      <c r="B7" s="3" t="inlineStr">
        <is>
          <t>ГПА №2</t>
        </is>
      </c>
      <c r="C7" s="3" t="n">
        <v>1</v>
      </c>
      <c r="D7" s="3" t="inlineStr">
        <is>
          <t>25.04.2022</t>
        </is>
      </c>
      <c r="E7" s="3" t="inlineStr">
        <is>
          <t>2022-№3</t>
        </is>
      </c>
      <c r="F7" s="4" t="inlineStr">
        <is>
          <t>act04_investigation.pdf</t>
        </is>
      </c>
    </row>
    <row r="8">
      <c r="A8" s="3" t="n">
        <v>2022</v>
      </c>
      <c r="B8" s="3" t="inlineStr">
        <is>
          <t>ГПА №2</t>
        </is>
      </c>
      <c r="C8" s="3" t="n">
        <v>1</v>
      </c>
      <c r="D8" s="3" t="inlineStr">
        <is>
          <t>07.06.2022</t>
        </is>
      </c>
      <c r="E8" s="3" t="inlineStr">
        <is>
          <t>2022-№5</t>
        </is>
      </c>
      <c r="F8" s="4" t="inlineStr">
        <is>
          <t>act05_investigation.pdf</t>
        </is>
      </c>
    </row>
    <row r="9">
      <c r="A9" s="3" t="n">
        <v>2023</v>
      </c>
      <c r="B9" s="3" t="inlineStr">
        <is>
          <t>ГПА №2</t>
        </is>
      </c>
      <c r="C9" s="3" t="n">
        <v>1</v>
      </c>
      <c r="D9" s="3" t="inlineStr">
        <is>
          <t>11.03.2023</t>
        </is>
      </c>
      <c r="E9" s="3" t="inlineStr">
        <is>
          <t>2023-№1</t>
        </is>
      </c>
      <c r="F9" s="4" t="inlineStr">
        <is>
          <t>act06_investigation.pdf</t>
        </is>
      </c>
    </row>
    <row r="10">
      <c r="A10" s="3" t="n">
        <v>2023</v>
      </c>
      <c r="B10" s="3" t="inlineStr">
        <is>
          <t>ГПА №3</t>
        </is>
      </c>
      <c r="C10" s="3" t="n">
        <v>1</v>
      </c>
      <c r="D10" s="3" t="inlineStr">
        <is>
          <t>11.03.2023</t>
        </is>
      </c>
      <c r="E10" s="3" t="inlineStr">
        <is>
          <t>2023-№1</t>
        </is>
      </c>
      <c r="F10" s="4" t="inlineStr">
        <is>
          <t>act06_investigation.pdf</t>
        </is>
      </c>
    </row>
    <row r="11">
      <c r="A11" s="3" t="n">
        <v>2023</v>
      </c>
      <c r="B11" s="3" t="inlineStr">
        <is>
          <t>ГПА №2</t>
        </is>
      </c>
      <c r="C11" s="3" t="n">
        <v>1</v>
      </c>
      <c r="D11" s="3" t="inlineStr">
        <is>
          <t>14.04.2023</t>
        </is>
      </c>
      <c r="E11" s="3" t="inlineStr">
        <is>
          <t>2023-№2</t>
        </is>
      </c>
      <c r="F11" s="4" t="inlineStr">
        <is>
          <t>act07_investigation.pdf</t>
        </is>
      </c>
    </row>
    <row r="12">
      <c r="A12" s="3" t="n">
        <v>2023</v>
      </c>
      <c r="B12" s="3" t="inlineStr">
        <is>
          <t>ГПА №2</t>
        </is>
      </c>
      <c r="C12" s="3" t="n">
        <v>1</v>
      </c>
      <c r="D12" s="3" t="inlineStr">
        <is>
          <t>06.06.2023</t>
        </is>
      </c>
      <c r="E12" s="3" t="inlineStr">
        <is>
          <t>2023-№5</t>
        </is>
      </c>
      <c r="F12" s="4" t="inlineStr">
        <is>
          <t>act08_investigation.pdf</t>
        </is>
      </c>
    </row>
    <row r="13">
      <c r="A13" s="3" t="n">
        <v>2024</v>
      </c>
      <c r="B13" s="3" t="inlineStr">
        <is>
          <t>ГПА №1</t>
        </is>
      </c>
      <c r="C13" s="3" t="n">
        <v>1</v>
      </c>
      <c r="D13" s="3" t="inlineStr">
        <is>
          <t>04.03.2024</t>
        </is>
      </c>
      <c r="E13" s="3" t="inlineStr">
        <is>
          <t>2024-№1</t>
        </is>
      </c>
      <c r="F13" s="4" t="inlineStr">
        <is>
          <t>act09_investigation.pdf</t>
        </is>
      </c>
    </row>
    <row r="14">
      <c r="A14" s="3" t="n">
        <v>2024</v>
      </c>
      <c r="B14" s="3" t="inlineStr">
        <is>
          <t>ГПА №1</t>
        </is>
      </c>
      <c r="C14" s="3" t="n">
        <v>1</v>
      </c>
      <c r="D14" s="3" t="inlineStr">
        <is>
          <t>11.03.2024</t>
        </is>
      </c>
      <c r="E14" s="3" t="inlineStr">
        <is>
          <t>2024-№2</t>
        </is>
      </c>
      <c r="F14" s="4" t="inlineStr">
        <is>
          <t>act10_investigation.pdf</t>
        </is>
      </c>
    </row>
    <row r="15">
      <c r="A15" s="3" t="n">
        <v>2024</v>
      </c>
      <c r="B15" s="3" t="inlineStr">
        <is>
          <t>ГПА №3</t>
        </is>
      </c>
      <c r="C15" s="3" t="n">
        <v>1</v>
      </c>
      <c r="D15" s="3" t="inlineStr">
        <is>
          <t>11.03.2024</t>
        </is>
      </c>
      <c r="E15" s="3" t="inlineStr">
        <is>
          <t>2024-№2</t>
        </is>
      </c>
      <c r="F15" s="4" t="inlineStr">
        <is>
          <t>act10_investigation.pdf</t>
        </is>
      </c>
    </row>
    <row r="16">
      <c r="A16" s="3" t="n">
        <v>2024</v>
      </c>
      <c r="B16" s="3" t="inlineStr">
        <is>
          <t>ГПА №3</t>
        </is>
      </c>
      <c r="C16" s="3" t="n">
        <v>1</v>
      </c>
      <c r="D16" s="3" t="inlineStr">
        <is>
          <t>10.05.2024</t>
        </is>
      </c>
      <c r="E16" s="3" t="inlineStr">
        <is>
          <t>2024-№3</t>
        </is>
      </c>
      <c r="F16" s="4" t="inlineStr">
        <is>
          <t>act11_investigation.pdf</t>
        </is>
      </c>
    </row>
    <row r="17">
      <c r="A17" s="3" t="n">
        <v>2024</v>
      </c>
      <c r="B17" s="3" t="inlineStr">
        <is>
          <t>ГПА №1</t>
        </is>
      </c>
      <c r="C17" s="3" t="n">
        <v>1</v>
      </c>
      <c r="D17" s="3" t="inlineStr">
        <is>
          <t>28.12.2024</t>
        </is>
      </c>
      <c r="E17" s="3" t="inlineStr">
        <is>
          <t>2024-№4</t>
        </is>
      </c>
      <c r="F17" s="4" t="inlineStr">
        <is>
          <t>act12_investigation.pdf</t>
        </is>
      </c>
    </row>
    <row r="18">
      <c r="A18" s="3" t="n">
        <v>2025</v>
      </c>
      <c r="B18" s="3" t="inlineStr">
        <is>
          <t>ГПА №1</t>
        </is>
      </c>
      <c r="C18" s="3" t="n">
        <v>1</v>
      </c>
      <c r="D18" s="3" t="inlineStr">
        <is>
          <t>02.05.2025</t>
        </is>
      </c>
      <c r="E18" s="3" t="inlineStr">
        <is>
          <t>2025-№1</t>
        </is>
      </c>
      <c r="F18" s="4" t="inlineStr">
        <is>
          <t>act13_investigation.pdf</t>
        </is>
      </c>
    </row>
    <row r="19">
      <c r="A19" s="3" t="n">
        <v>2025</v>
      </c>
      <c r="B19" s="3" t="inlineStr">
        <is>
          <t>ГПА №3</t>
        </is>
      </c>
      <c r="C19" s="3" t="n">
        <v>1</v>
      </c>
      <c r="D19" s="3" t="inlineStr">
        <is>
          <t>02.05.2025</t>
        </is>
      </c>
      <c r="E19" s="3" t="inlineStr">
        <is>
          <t>2025-№1</t>
        </is>
      </c>
      <c r="F19" s="4" t="inlineStr">
        <is>
          <t>act13_investigation.pdf</t>
        </is>
      </c>
    </row>
    <row r="20">
      <c r="A20" s="3" t="n">
        <v>2026</v>
      </c>
      <c r="B20" s="3" t="inlineStr">
        <is>
          <t>ГПА №1</t>
        </is>
      </c>
      <c r="C20" s="3" t="n">
        <v>1</v>
      </c>
      <c r="D20" s="3" t="inlineStr">
        <is>
          <t>27.04.2026</t>
        </is>
      </c>
      <c r="E20" s="3" t="inlineStr">
        <is>
          <t>2026-№1</t>
        </is>
      </c>
      <c r="F20" s="4" t="inlineStr">
        <is>
          <t>act14_investigation.pdf</t>
        </is>
      </c>
    </row>
    <row r="21">
      <c r="A21" s="3" t="n">
        <v>2026</v>
      </c>
      <c r="B21" s="3" t="inlineStr">
        <is>
          <t>ГПА №3</t>
        </is>
      </c>
      <c r="C21" s="3" t="n">
        <v>1</v>
      </c>
      <c r="D21" s="3" t="inlineStr">
        <is>
          <t>27.04.2026</t>
        </is>
      </c>
      <c r="E21" s="3" t="inlineStr">
        <is>
          <t>2026-№1</t>
        </is>
      </c>
      <c r="F21" s="4" t="inlineStr">
        <is>
          <t>act14_investigation.pdf</t>
        </is>
      </c>
    </row>
    <row r="22">
      <c r="A22" s="3" t="n">
        <v>2023</v>
      </c>
      <c r="B22" s="3" t="inlineStr">
        <is>
          <t>ГПА №2</t>
        </is>
      </c>
      <c r="C22" s="3" t="n">
        <v>1</v>
      </c>
      <c r="D22" s="3" t="inlineStr">
        <is>
          <t>01.06.2023</t>
        </is>
      </c>
      <c r="E22" s="3" t="inlineStr">
        <is>
          <t>2023-№4</t>
        </is>
      </c>
      <c r="F22" s="4" t="inlineStr">
        <is>
          <t>act15_investigation.pdf</t>
        </is>
      </c>
    </row>
    <row r="23">
      <c r="A23" s="3" t="n">
        <v>2018</v>
      </c>
      <c r="B23" s="3" t="inlineStr">
        <is>
          <t>ГПА №1</t>
        </is>
      </c>
      <c r="C23" s="3" t="n">
        <v>1</v>
      </c>
      <c r="D23" s="3" t="inlineStr">
        <is>
          <t>07.03.2018</t>
        </is>
      </c>
      <c r="E23" s="3" t="inlineStr">
        <is>
          <t>2018-№3</t>
        </is>
      </c>
      <c r="F23" s="4" t="inlineStr">
        <is>
          <t>act20_investigation.pdf</t>
        </is>
      </c>
    </row>
    <row r="24">
      <c r="A24" s="3" t="n">
        <v>2018</v>
      </c>
      <c r="B24" s="3" t="inlineStr">
        <is>
          <t>ГПА №1</t>
        </is>
      </c>
      <c r="C24" s="3" t="n">
        <v>1</v>
      </c>
      <c r="D24" s="3" t="inlineStr">
        <is>
          <t>30.03.2018</t>
        </is>
      </c>
      <c r="E24" s="3" t="inlineStr">
        <is>
          <t>2018-№4</t>
        </is>
      </c>
      <c r="F24" s="4" t="inlineStr">
        <is>
          <t>act23_investigation.pdf</t>
        </is>
      </c>
    </row>
    <row r="25">
      <c r="A25" s="3" t="n">
        <v>2018</v>
      </c>
      <c r="B25" s="3" t="inlineStr">
        <is>
          <t>ГПА №2</t>
        </is>
      </c>
      <c r="C25" s="3" t="n">
        <v>1</v>
      </c>
      <c r="D25" s="3" t="inlineStr">
        <is>
          <t>30.03.2018</t>
        </is>
      </c>
      <c r="E25" s="3" t="inlineStr">
        <is>
          <t>2018-№4</t>
        </is>
      </c>
      <c r="F25" s="4" t="inlineStr">
        <is>
          <t>act23_investigation.pdf</t>
        </is>
      </c>
    </row>
    <row r="26">
      <c r="A26" s="3" t="n">
        <v>2018</v>
      </c>
      <c r="B26" s="3" t="inlineStr">
        <is>
          <t>ГПА №3</t>
        </is>
      </c>
      <c r="C26" s="3" t="n">
        <v>1</v>
      </c>
      <c r="D26" s="3" t="inlineStr">
        <is>
          <t>24.05.2018</t>
        </is>
      </c>
      <c r="E26" s="3" t="inlineStr">
        <is>
          <t>2018-№6</t>
        </is>
      </c>
      <c r="F26" s="4" t="inlineStr">
        <is>
          <t>act22_investigation.pdf</t>
        </is>
      </c>
    </row>
    <row r="27">
      <c r="A27" s="3" t="n">
        <v>2018</v>
      </c>
      <c r="B27" s="3" t="inlineStr">
        <is>
          <t>ГПА №2</t>
        </is>
      </c>
      <c r="C27" s="3" t="n">
        <v>1</v>
      </c>
      <c r="D27" s="3" t="inlineStr">
        <is>
          <t>28.05.2018</t>
        </is>
      </c>
      <c r="E27" s="3" t="inlineStr">
        <is>
          <t>2018-№7</t>
        </is>
      </c>
      <c r="F27" s="4" t="inlineStr">
        <is>
          <t>act21_investigation.pdf</t>
        </is>
      </c>
    </row>
    <row r="28">
      <c r="A28" s="3" t="n">
        <v>2018</v>
      </c>
      <c r="B28" s="3" t="inlineStr">
        <is>
          <t>ГПА №2</t>
        </is>
      </c>
      <c r="C28" s="3" t="n">
        <v>1</v>
      </c>
      <c r="D28" s="3" t="inlineStr">
        <is>
          <t>03.02.2018</t>
        </is>
      </c>
      <c r="E28" s="3" t="inlineStr">
        <is>
          <t>2018-№1</t>
        </is>
      </c>
      <c r="F28" s="4" t="inlineStr">
        <is>
          <t>act24_investigation.pdf</t>
        </is>
      </c>
    </row>
    <row r="29">
      <c r="A29" s="3" t="n">
        <v>2018</v>
      </c>
      <c r="B29" s="3" t="inlineStr">
        <is>
          <t>ГПА №1</t>
        </is>
      </c>
      <c r="C29" s="3" t="n">
        <v>1</v>
      </c>
      <c r="D29" s="3" t="inlineStr">
        <is>
          <t>21.02.2018</t>
        </is>
      </c>
      <c r="E29" s="3" t="inlineStr">
        <is>
          <t>2018-№2</t>
        </is>
      </c>
      <c r="F29" s="4" t="inlineStr">
        <is>
          <t>act25_investigation.pdf</t>
        </is>
      </c>
    </row>
    <row r="30">
      <c r="A30" s="3" t="n">
        <v>2018</v>
      </c>
      <c r="B30" s="3" t="inlineStr">
        <is>
          <t>ГПА №3</t>
        </is>
      </c>
      <c r="C30" s="3" t="n">
        <v>1</v>
      </c>
      <c r="D30" s="3" t="inlineStr">
        <is>
          <t>21.02.2018</t>
        </is>
      </c>
      <c r="E30" s="3" t="inlineStr">
        <is>
          <t>2018-№2</t>
        </is>
      </c>
      <c r="F30" s="4" t="inlineStr">
        <is>
          <t>act25_investigation.pdf</t>
        </is>
      </c>
    </row>
    <row r="31">
      <c r="A31" s="3" t="n">
        <v>2018</v>
      </c>
      <c r="B31" s="3" t="inlineStr">
        <is>
          <t>ГПА №1</t>
        </is>
      </c>
      <c r="C31" s="3" t="n">
        <v>1</v>
      </c>
      <c r="D31" s="3" t="inlineStr">
        <is>
          <t>30.03.2018</t>
        </is>
      </c>
      <c r="E31" s="3" t="inlineStr">
        <is>
          <t>2018-№5</t>
        </is>
      </c>
      <c r="F31" s="4" t="inlineStr">
        <is>
          <t>act26_investigation.pdf</t>
        </is>
      </c>
    </row>
    <row r="32">
      <c r="A32" s="3" t="n">
        <v>2018</v>
      </c>
      <c r="B32" s="3" t="inlineStr">
        <is>
          <t>ГПА №1</t>
        </is>
      </c>
      <c r="C32" s="3" t="n">
        <v>1</v>
      </c>
      <c r="D32" s="3" t="inlineStr">
        <is>
          <t>25.06.2018</t>
        </is>
      </c>
      <c r="E32" s="3" t="inlineStr">
        <is>
          <t>2018-№8</t>
        </is>
      </c>
      <c r="F32" s="4" t="inlineStr">
        <is>
          <t>act27_investigation.pdf</t>
        </is>
      </c>
    </row>
    <row r="33">
      <c r="A33" s="3" t="n">
        <v>2018</v>
      </c>
      <c r="B33" s="3" t="inlineStr">
        <is>
          <t>ГПА №3</t>
        </is>
      </c>
      <c r="C33" s="3" t="n">
        <v>1</v>
      </c>
      <c r="D33" s="3" t="inlineStr">
        <is>
          <t>25.06.2018</t>
        </is>
      </c>
      <c r="E33" s="3" t="inlineStr">
        <is>
          <t>2018-№8</t>
        </is>
      </c>
      <c r="F33" s="4" t="inlineStr">
        <is>
          <t>act27_investigation.pdf</t>
        </is>
      </c>
    </row>
    <row r="34">
      <c r="A34" s="3" t="n">
        <v>2018</v>
      </c>
      <c r="B34" s="3" t="inlineStr">
        <is>
          <t>ГПА №1</t>
        </is>
      </c>
      <c r="C34" s="3" t="n">
        <v>1</v>
      </c>
      <c r="D34" s="3" t="inlineStr">
        <is>
          <t>26.06.2018</t>
        </is>
      </c>
      <c r="E34" s="3" t="inlineStr">
        <is>
          <t>2018-№9</t>
        </is>
      </c>
      <c r="F34" s="4" t="inlineStr">
        <is>
          <t>act28_investigation.pdf</t>
        </is>
      </c>
    </row>
    <row r="35">
      <c r="A35" s="3" t="n">
        <v>2018</v>
      </c>
      <c r="B35" s="3" t="inlineStr">
        <is>
          <t>ГПА №2</t>
        </is>
      </c>
      <c r="C35" s="3" t="n">
        <v>1</v>
      </c>
      <c r="D35" s="3" t="inlineStr">
        <is>
          <t>26.06.2018</t>
        </is>
      </c>
      <c r="E35" s="3" t="inlineStr">
        <is>
          <t>2018-№9</t>
        </is>
      </c>
      <c r="F35" s="4" t="inlineStr">
        <is>
          <t>act28_investigation.pdf</t>
        </is>
      </c>
    </row>
    <row r="36">
      <c r="A36" s="3" t="n">
        <v>2019</v>
      </c>
      <c r="B36" s="3" t="inlineStr">
        <is>
          <t>ГПА №3</t>
        </is>
      </c>
      <c r="C36" s="3" t="n">
        <v>1</v>
      </c>
      <c r="D36" s="3" t="inlineStr">
        <is>
          <t>31.03.2019</t>
        </is>
      </c>
      <c r="E36" s="3" t="inlineStr">
        <is>
          <t>2019-№1</t>
        </is>
      </c>
      <c r="F36" s="4" t="inlineStr">
        <is>
          <t>act29_investigation.pdf</t>
        </is>
      </c>
    </row>
    <row r="37">
      <c r="A37" s="3" t="n">
        <v>2019</v>
      </c>
      <c r="B37" s="3" t="inlineStr">
        <is>
          <t>ГПА №1</t>
        </is>
      </c>
      <c r="C37" s="3" t="n">
        <v>1</v>
      </c>
      <c r="D37" s="3" t="inlineStr">
        <is>
          <t>13.04.2019</t>
        </is>
      </c>
      <c r="E37" s="3" t="inlineStr">
        <is>
          <t>2019-№2</t>
        </is>
      </c>
      <c r="F37" s="4" t="inlineStr">
        <is>
          <t>act30_investigation.pdf</t>
        </is>
      </c>
    </row>
    <row r="38">
      <c r="A38" s="3" t="n">
        <v>2019</v>
      </c>
      <c r="B38" s="3" t="inlineStr">
        <is>
          <t>ГПА №2</t>
        </is>
      </c>
      <c r="C38" s="3" t="n">
        <v>1</v>
      </c>
      <c r="D38" s="3" t="inlineStr">
        <is>
          <t>13.04.2019</t>
        </is>
      </c>
      <c r="E38" s="3" t="inlineStr">
        <is>
          <t>2019-№2</t>
        </is>
      </c>
      <c r="F38" s="4" t="inlineStr">
        <is>
          <t>act30_investigation.pdf</t>
        </is>
      </c>
    </row>
    <row r="39">
      <c r="A39" s="3" t="n">
        <v>2019</v>
      </c>
      <c r="B39" s="3" t="inlineStr">
        <is>
          <t>ГПА №3</t>
        </is>
      </c>
      <c r="C39" s="3" t="n">
        <v>1</v>
      </c>
      <c r="D39" s="3" t="inlineStr">
        <is>
          <t>13.04.2019</t>
        </is>
      </c>
      <c r="E39" s="3" t="inlineStr">
        <is>
          <t>2019-№2</t>
        </is>
      </c>
      <c r="F39" s="4" t="inlineStr">
        <is>
          <t>act30_investigation.pdf</t>
        </is>
      </c>
    </row>
    <row r="40">
      <c r="A40" s="3" t="n">
        <v>2019</v>
      </c>
      <c r="B40" s="3" t="inlineStr">
        <is>
          <t>ГПА №1</t>
        </is>
      </c>
      <c r="C40" s="3" t="n">
        <v>1</v>
      </c>
      <c r="D40" s="3" t="inlineStr">
        <is>
          <t>20.04.2019</t>
        </is>
      </c>
      <c r="E40" s="3" t="inlineStr">
        <is>
          <t>2019-№3</t>
        </is>
      </c>
      <c r="F40" s="4" t="inlineStr">
        <is>
          <t>act31_investigation.pdf</t>
        </is>
      </c>
    </row>
    <row r="41">
      <c r="A41" s="3" t="n">
        <v>2019</v>
      </c>
      <c r="B41" s="3" t="inlineStr">
        <is>
          <t>ГПА №2</t>
        </is>
      </c>
      <c r="C41" s="3" t="n">
        <v>1</v>
      </c>
      <c r="D41" s="3" t="inlineStr">
        <is>
          <t>20.04.2019</t>
        </is>
      </c>
      <c r="E41" s="3" t="inlineStr">
        <is>
          <t>2019-№3</t>
        </is>
      </c>
      <c r="F41" s="4" t="inlineStr">
        <is>
          <t>act31_investigation.pdf</t>
        </is>
      </c>
    </row>
    <row r="42">
      <c r="A42" s="3" t="n">
        <v>2019</v>
      </c>
      <c r="B42" s="3" t="inlineStr">
        <is>
          <t>ГПА №3</t>
        </is>
      </c>
      <c r="C42" s="3" t="n">
        <v>1</v>
      </c>
      <c r="D42" s="3" t="inlineStr">
        <is>
          <t>08.05.2019</t>
        </is>
      </c>
      <c r="E42" s="3" t="inlineStr">
        <is>
          <t>2019-№4</t>
        </is>
      </c>
      <c r="F42" s="4" t="inlineStr">
        <is>
          <t>act32_investigation.pdf</t>
        </is>
      </c>
    </row>
    <row r="43">
      <c r="A43" s="3" t="n">
        <v>2019</v>
      </c>
      <c r="B43" s="3" t="inlineStr">
        <is>
          <t>ГПА №1</t>
        </is>
      </c>
      <c r="C43" s="3" t="n">
        <v>1</v>
      </c>
      <c r="D43" s="3" t="inlineStr">
        <is>
          <t>18.06.2019</t>
        </is>
      </c>
      <c r="E43" s="3" t="inlineStr">
        <is>
          <t>2019-№5</t>
        </is>
      </c>
      <c r="F43" s="4" t="inlineStr">
        <is>
          <t>act33_investigation.pdf</t>
        </is>
      </c>
    </row>
    <row r="44">
      <c r="A44" s="3" t="n">
        <v>2019</v>
      </c>
      <c r="B44" s="3" t="inlineStr">
        <is>
          <t>ГПА №3</t>
        </is>
      </c>
      <c r="C44" s="3" t="n">
        <v>1</v>
      </c>
      <c r="D44" s="3" t="inlineStr">
        <is>
          <t>18.06.2019</t>
        </is>
      </c>
      <c r="E44" s="3" t="inlineStr">
        <is>
          <t>2019-№5</t>
        </is>
      </c>
      <c r="F44" s="4" t="inlineStr">
        <is>
          <t>act33_investigation.pdf</t>
        </is>
      </c>
    </row>
    <row r="45">
      <c r="A45" s="3" t="n">
        <v>2019</v>
      </c>
      <c r="B45" s="3" t="inlineStr">
        <is>
          <t>ГПА №2</t>
        </is>
      </c>
      <c r="C45" s="3" t="n">
        <v>1</v>
      </c>
      <c r="D45" s="3" t="inlineStr">
        <is>
          <t>21.07.2019</t>
        </is>
      </c>
      <c r="E45" s="3" t="inlineStr">
        <is>
          <t>2019-№6</t>
        </is>
      </c>
      <c r="F45" s="4" t="inlineStr">
        <is>
          <t>act34_investigation.pdf</t>
        </is>
      </c>
    </row>
    <row r="46">
      <c r="A46" s="3" t="n">
        <v>2019</v>
      </c>
      <c r="B46" s="3" t="inlineStr">
        <is>
          <t>ГПА №3</t>
        </is>
      </c>
      <c r="C46" s="3" t="n">
        <v>1</v>
      </c>
      <c r="D46" s="3" t="inlineStr">
        <is>
          <t>21.07.2019</t>
        </is>
      </c>
      <c r="E46" s="3" t="inlineStr">
        <is>
          <t>2019-№6</t>
        </is>
      </c>
      <c r="F46" s="4" t="inlineStr">
        <is>
          <t>act34_investigation.pdf</t>
        </is>
      </c>
    </row>
    <row r="48" ht="28" customHeight="1">
      <c r="A48" s="5" t="inlineStr">
        <is>
          <t>Этот лист формируется автоматически из accidents.json при запуске build.py. Не редактируйте его вручную — правки потеряются при следующей пересборке.</t>
        </is>
      </c>
    </row>
  </sheetData>
  <mergeCells count="2">
    <mergeCell ref="A1:F1"/>
    <mergeCell ref="A48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2" customWidth="1" min="3" max="3"/>
    <col width="10" customWidth="1" min="4" max="4"/>
    <col width="16" customWidth="1" min="5" max="5"/>
    <col width="16" customWidth="1" min="6" max="6"/>
    <col width="11" customWidth="1" min="7" max="7"/>
  </cols>
  <sheetData>
    <row r="1" ht="28" customHeight="1">
      <c r="A1" s="1" t="inlineStr">
        <is>
          <t>ТАБЛИЦА АВАРИЙНЫХ ОСТАНОВОВ ГПА</t>
        </is>
      </c>
    </row>
    <row r="3">
      <c r="A3" s="2" t="inlineStr">
        <is>
          <t>№</t>
        </is>
      </c>
      <c r="B3" s="2" t="inlineStr">
        <is>
          <t>Наименование (тема аварии)</t>
        </is>
      </c>
      <c r="C3" s="2" t="inlineStr">
        <is>
          <t>Дата</t>
        </is>
      </c>
      <c r="D3" s="2" t="inlineStr">
        <is>
          <t>№ акта</t>
        </is>
      </c>
      <c r="E3" s="2" t="inlineStr">
        <is>
          <t>ГПА</t>
        </is>
      </c>
      <c r="F3" s="2" t="inlineStr">
        <is>
          <t>Источник</t>
        </is>
      </c>
      <c r="G3" s="2" t="inlineStr">
        <is>
          <t>Стр. в PDF</t>
        </is>
      </c>
    </row>
    <row r="4" ht="32" customHeight="1">
      <c r="A4" s="3" t="n">
        <v>1</v>
      </c>
      <c r="B4" s="3" t="inlineStr">
        <is>
          <t>Скачок частоты ГПЭС при переключении, останов ГПА№2 по низкому давлению воздуха</t>
        </is>
      </c>
      <c r="C4" s="3" t="inlineStr">
        <is>
          <t>10.06.2020</t>
        </is>
      </c>
      <c r="D4" s="3" t="inlineStr">
        <is>
          <t>№1</t>
        </is>
      </c>
      <c r="E4" s="3" t="inlineStr">
        <is>
          <t>ГПА №2</t>
        </is>
      </c>
      <c r="F4" s="6" t="inlineStr">
        <is>
          <t>Открыть акт (PDF)</t>
        </is>
      </c>
      <c r="G4" s="7" t="n">
        <v>1</v>
      </c>
    </row>
    <row r="5" ht="32" customHeight="1">
      <c r="A5" s="3" t="n">
        <v>2</v>
      </c>
      <c r="B5" s="3" t="inlineStr">
        <is>
          <t>Потеря пламени в камере сгорания при повышении оборотов (режим АВС)</t>
        </is>
      </c>
      <c r="C5" s="3" t="inlineStr">
        <is>
          <t>01.02.2022</t>
        </is>
      </c>
      <c r="D5" s="3" t="inlineStr">
        <is>
          <t>№1</t>
        </is>
      </c>
      <c r="E5" s="3" t="inlineStr">
        <is>
          <t>ГПА №3</t>
        </is>
      </c>
      <c r="F5" s="6" t="inlineStr">
        <is>
          <t>Открыть акт (PDF)</t>
        </is>
      </c>
      <c r="G5" s="7" t="n">
        <v>4</v>
      </c>
    </row>
    <row r="6" ht="32" customHeight="1">
      <c r="A6" s="3" t="n">
        <v>3</v>
      </c>
      <c r="B6" s="3" t="inlineStr">
        <is>
          <t>Потеря пламени из-за несоответствия настроек DLE Mapping зимнего режима</t>
        </is>
      </c>
      <c r="C6" s="3" t="inlineStr">
        <is>
          <t>11.03.2022</t>
        </is>
      </c>
      <c r="D6" s="3" t="inlineStr">
        <is>
          <t>№2</t>
        </is>
      </c>
      <c r="E6" s="3" t="inlineStr">
        <is>
          <t>ГПА №3</t>
        </is>
      </c>
      <c r="F6" s="6" t="inlineStr">
        <is>
          <t>Открыть акт (PDF)</t>
        </is>
      </c>
      <c r="G6" s="7" t="n">
        <v>8</v>
      </c>
    </row>
    <row r="7" ht="32" customHeight="1">
      <c r="A7" s="3" t="n">
        <v>4</v>
      </c>
      <c r="B7" s="3" t="inlineStr">
        <is>
          <t>Ошибочная активация системы пожаротушения СО2 сменным инженером</t>
        </is>
      </c>
      <c r="C7" s="3" t="inlineStr">
        <is>
          <t>25.04.2022</t>
        </is>
      </c>
      <c r="D7" s="3" t="inlineStr">
        <is>
          <t>№3</t>
        </is>
      </c>
      <c r="E7" s="3" t="inlineStr">
        <is>
          <t>ГПА №2</t>
        </is>
      </c>
      <c r="F7" s="6" t="inlineStr">
        <is>
          <t>Открыть акт (PDF)</t>
        </is>
      </c>
      <c r="G7" s="7" t="n">
        <v>13</v>
      </c>
    </row>
    <row r="8" ht="32" customHeight="1">
      <c r="A8" s="3" t="n">
        <v>5</v>
      </c>
      <c r="B8" s="3" t="inlineStr">
        <is>
          <t>Ложное срабатывание сигнала положения свечного крана XV-784</t>
        </is>
      </c>
      <c r="C8" s="3" t="inlineStr">
        <is>
          <t>07.06.2022</t>
        </is>
      </c>
      <c r="D8" s="3" t="inlineStr">
        <is>
          <t>№5</t>
        </is>
      </c>
      <c r="E8" s="3" t="inlineStr">
        <is>
          <t>ГПА №2</t>
        </is>
      </c>
      <c r="F8" s="6" t="inlineStr">
        <is>
          <t>Открыть акт (PDF)</t>
        </is>
      </c>
      <c r="G8" s="7" t="n">
        <v>16</v>
      </c>
    </row>
    <row r="9" ht="32" customHeight="1">
      <c r="A9" s="3" t="n">
        <v>6</v>
      </c>
      <c r="B9" s="3" t="inlineStr">
        <is>
          <t>Останов ГПЭС№3 и ГПА№2,3 по давлению масла из-за отсутствия нагрузочного модуля</t>
        </is>
      </c>
      <c r="C9" s="3" t="inlineStr">
        <is>
          <t>11.03.2023</t>
        </is>
      </c>
      <c r="D9" s="3" t="inlineStr">
        <is>
          <t>№1</t>
        </is>
      </c>
      <c r="E9" s="3" t="inlineStr">
        <is>
          <t>ГПА №2, ГПА №3</t>
        </is>
      </c>
      <c r="F9" s="6" t="inlineStr">
        <is>
          <t>Открыть акт (PDF)</t>
        </is>
      </c>
      <c r="G9" s="7" t="n">
        <v>19</v>
      </c>
    </row>
    <row r="10" ht="32" customHeight="1">
      <c r="A10" s="3" t="n">
        <v>7</v>
      </c>
      <c r="B10" s="3" t="inlineStr">
        <is>
          <t>Отказ модуля изолятора Railbus (RB6-2), сбой передачи данных датчиков</t>
        </is>
      </c>
      <c r="C10" s="3" t="inlineStr">
        <is>
          <t>14.04.2023</t>
        </is>
      </c>
      <c r="D10" s="3" t="inlineStr">
        <is>
          <t>№2</t>
        </is>
      </c>
      <c r="E10" s="3" t="inlineStr">
        <is>
          <t>ГПА №2</t>
        </is>
      </c>
      <c r="F10" s="6" t="inlineStr">
        <is>
          <t>Открыть акт (PDF)</t>
        </is>
      </c>
      <c r="G10" s="7" t="n">
        <v>28</v>
      </c>
    </row>
    <row r="11" ht="32" customHeight="1">
      <c r="A11" s="3" t="n">
        <v>8</v>
      </c>
      <c r="B11" s="3" t="inlineStr">
        <is>
          <t>Ложное срабатывание концевых выключателей свечного крана XV-4204</t>
        </is>
      </c>
      <c r="C11" s="3" t="inlineStr">
        <is>
          <t>06.06.2023</t>
        </is>
      </c>
      <c r="D11" s="3" t="inlineStr">
        <is>
          <t>№5</t>
        </is>
      </c>
      <c r="E11" s="3" t="inlineStr">
        <is>
          <t>ГПА №2</t>
        </is>
      </c>
      <c r="F11" s="6" t="inlineStr">
        <is>
          <t>Открыть акт (PDF)</t>
        </is>
      </c>
      <c r="G11" s="7" t="n">
        <v>33</v>
      </c>
    </row>
    <row r="12" ht="32" customHeight="1">
      <c r="A12" s="3" t="n">
        <v>9</v>
      </c>
      <c r="B12" s="3" t="inlineStr">
        <is>
          <t>Некорректная работа модуля RTD датчика температуры TE-147A</t>
        </is>
      </c>
      <c r="C12" s="3" t="inlineStr">
        <is>
          <t>04.03.2024</t>
        </is>
      </c>
      <c r="D12" s="3" t="inlineStr">
        <is>
          <t>№1</t>
        </is>
      </c>
      <c r="E12" s="3" t="inlineStr">
        <is>
          <t>ГПА №1</t>
        </is>
      </c>
      <c r="F12" s="6" t="inlineStr">
        <is>
          <t>Открыть акт (PDF)</t>
        </is>
      </c>
      <c r="G12" s="7" t="n">
        <v>36</v>
      </c>
    </row>
    <row r="13" ht="32" customHeight="1">
      <c r="A13" s="3" t="n">
        <v>10</v>
      </c>
      <c r="B13" s="3" t="inlineStr">
        <is>
          <t>Падение давления воздуха из-за неисправности осушительной установки ВК№1</t>
        </is>
      </c>
      <c r="C13" s="3" t="inlineStr">
        <is>
          <t>11.03.2024</t>
        </is>
      </c>
      <c r="D13" s="3" t="inlineStr">
        <is>
          <t>№2</t>
        </is>
      </c>
      <c r="E13" s="3" t="inlineStr">
        <is>
          <t>ГПА №1, ГПА №3</t>
        </is>
      </c>
      <c r="F13" s="6" t="inlineStr">
        <is>
          <t>Открыть акт (PDF)</t>
        </is>
      </c>
      <c r="G13" s="7" t="n">
        <v>42</v>
      </c>
    </row>
    <row r="14" ht="32" customHeight="1">
      <c r="A14" s="3" t="n">
        <v>11</v>
      </c>
      <c r="B14" s="3" t="inlineStr">
        <is>
          <t>Ложное срабатывание датчиков загазованности из-за потери связи NTRON 509</t>
        </is>
      </c>
      <c r="C14" s="3" t="inlineStr">
        <is>
          <t>10.05.2024</t>
        </is>
      </c>
      <c r="D14" s="3" t="inlineStr">
        <is>
          <t>№3</t>
        </is>
      </c>
      <c r="E14" s="3" t="inlineStr">
        <is>
          <t>ГПА №3</t>
        </is>
      </c>
      <c r="F14" s="6" t="inlineStr">
        <is>
          <t>Открыть акт (PDF)</t>
        </is>
      </c>
      <c r="G14" s="7" t="n">
        <v>45</v>
      </c>
    </row>
    <row r="15" ht="32" customHeight="1">
      <c r="A15" s="3" t="n">
        <v>12</v>
      </c>
      <c r="B15" s="3" t="inlineStr">
        <is>
          <t>Нестабильные обороты ГПЭС№1 из-за отсутствия синхронизации агрегатов</t>
        </is>
      </c>
      <c r="C15" s="3" t="inlineStr">
        <is>
          <t>28.12.2024</t>
        </is>
      </c>
      <c r="D15" s="3" t="inlineStr">
        <is>
          <t>№4</t>
        </is>
      </c>
      <c r="E15" s="3" t="inlineStr">
        <is>
          <t>ГПА №1</t>
        </is>
      </c>
      <c r="F15" s="6" t="inlineStr">
        <is>
          <t>Открыть акт (PDF)</t>
        </is>
      </c>
      <c r="G15" s="7" t="n">
        <v>50</v>
      </c>
    </row>
    <row r="16" ht="32" customHeight="1">
      <c r="A16" s="3" t="n">
        <v>13</v>
      </c>
      <c r="B16" s="3" t="inlineStr">
        <is>
          <t>Резкое падение давления топливного газа (возможное закрытие крана MOV7501)</t>
        </is>
      </c>
      <c r="C16" s="3" t="inlineStr">
        <is>
          <t>02.05.2025</t>
        </is>
      </c>
      <c r="D16" s="3" t="inlineStr">
        <is>
          <t>№1</t>
        </is>
      </c>
      <c r="E16" s="3" t="inlineStr">
        <is>
          <t>ГПА №1, ГПА №3</t>
        </is>
      </c>
      <c r="F16" s="6" t="inlineStr">
        <is>
          <t>Открыть акт (PDF)</t>
        </is>
      </c>
      <c r="G16" s="7" t="n">
        <v>53</v>
      </c>
    </row>
    <row r="17" ht="32" customHeight="1">
      <c r="A17" s="3" t="n">
        <v>14</v>
      </c>
      <c r="B17" s="3" t="inlineStr">
        <is>
          <t>Повреждение выпускных клапанов цилиндров ГПЭС№3, останов ГПА№1,3</t>
        </is>
      </c>
      <c r="C17" s="3" t="inlineStr">
        <is>
          <t>27.04.2026</t>
        </is>
      </c>
      <c r="D17" s="3" t="inlineStr">
        <is>
          <t>№1</t>
        </is>
      </c>
      <c r="E17" s="3" t="inlineStr">
        <is>
          <t>ГПА №1, ГПА №3</t>
        </is>
      </c>
      <c r="F17" s="6" t="inlineStr">
        <is>
          <t>Открыть акт (PDF)</t>
        </is>
      </c>
      <c r="G17" s="7" t="n">
        <v>59</v>
      </c>
    </row>
    <row r="18" ht="32" customHeight="1">
      <c r="A18" s="3" t="n">
        <v>15</v>
      </c>
      <c r="B18" s="3" t="inlineStr">
        <is>
          <t>Утечка синтетического масла через клапан CDP (Bleed Valve), ВНО ГПА№2</t>
        </is>
      </c>
      <c r="C18" s="3" t="inlineStr">
        <is>
          <t>01.06.2023</t>
        </is>
      </c>
      <c r="D18" s="3" t="inlineStr">
        <is>
          <t>№4</t>
        </is>
      </c>
      <c r="E18" s="3" t="inlineStr">
        <is>
          <t>ГПА №2</t>
        </is>
      </c>
      <c r="F18" s="6" t="inlineStr">
        <is>
          <t>Открыть акт (PDF)</t>
        </is>
      </c>
      <c r="G18" s="7" t="n">
        <v>64</v>
      </c>
    </row>
    <row r="19" ht="32" customHeight="1">
      <c r="A19" s="3" t="n">
        <v>16</v>
      </c>
      <c r="B19" s="3" t="inlineStr">
        <is>
          <t>Автоматический останов ГПА№1 из-за некорректной работы позиционера клапана XV 222</t>
        </is>
      </c>
      <c r="C19" s="3" t="inlineStr">
        <is>
          <t>07.03.2018</t>
        </is>
      </c>
      <c r="D19" s="3" t="inlineStr">
        <is>
          <t>№3</t>
        </is>
      </c>
      <c r="E19" s="3" t="inlineStr">
        <is>
          <t>ГПА №1</t>
        </is>
      </c>
      <c r="F19" s="6" t="inlineStr">
        <is>
          <t>Открыть акт (PDF)</t>
        </is>
      </c>
      <c r="G19" s="7" t="n">
        <v>65</v>
      </c>
    </row>
    <row r="20" ht="32" customHeight="1">
      <c r="A20" s="3" t="n">
        <v>17</v>
      </c>
      <c r="B20" s="3" t="inlineStr">
        <is>
          <t>Автоматический останов ГПА№1,2 из-за отключения автомата шкафа управления АВО антифриза</t>
        </is>
      </c>
      <c r="C20" s="3" t="inlineStr">
        <is>
          <t>30.03.2018</t>
        </is>
      </c>
      <c r="D20" s="3" t="inlineStr">
        <is>
          <t>№4</t>
        </is>
      </c>
      <c r="E20" s="3" t="inlineStr">
        <is>
          <t>ГПА №1, ГПА №2</t>
        </is>
      </c>
      <c r="F20" s="6" t="inlineStr">
        <is>
          <t>Открыть акт (PDF)</t>
        </is>
      </c>
      <c r="G20" s="7" t="n">
        <v>66</v>
      </c>
    </row>
    <row r="21" ht="32" customHeight="1">
      <c r="A21" s="3" t="n">
        <v>18</v>
      </c>
      <c r="B21" s="3" t="inlineStr">
        <is>
          <t>Вынужденный нормальный останов ГПА№3 из-за некорректного отображения обратной связи по клапану FCV-780 (Hot bypass)</t>
        </is>
      </c>
      <c r="C21" s="3" t="inlineStr">
        <is>
          <t>24.05.2018</t>
        </is>
      </c>
      <c r="D21" s="3" t="inlineStr">
        <is>
          <t>№6</t>
        </is>
      </c>
      <c r="E21" s="3" t="inlineStr">
        <is>
          <t>ГПА №3</t>
        </is>
      </c>
      <c r="F21" s="6" t="inlineStr">
        <is>
          <t>Открыть акт (PDF)</t>
        </is>
      </c>
      <c r="G21" s="7" t="n">
        <v>67</v>
      </c>
    </row>
    <row r="22" ht="32" customHeight="1">
      <c r="A22" s="3" t="n">
        <v>19</v>
      </c>
      <c r="B22" s="3" t="inlineStr">
        <is>
          <t>Вынужденный нормальный останов ГПА№2 из-за отказа датчика температуры подшипника TE 403-1</t>
        </is>
      </c>
      <c r="C22" s="3" t="inlineStr">
        <is>
          <t>28.05.2018</t>
        </is>
      </c>
      <c r="D22" s="3" t="inlineStr">
        <is>
          <t>№7</t>
        </is>
      </c>
      <c r="E22" s="3" t="inlineStr">
        <is>
          <t>ГПА №2</t>
        </is>
      </c>
      <c r="F22" s="6" t="inlineStr">
        <is>
          <t>Открыть акт (PDF)</t>
        </is>
      </c>
      <c r="G22" s="7" t="n">
        <v>68</v>
      </c>
    </row>
    <row r="23" ht="32" customHeight="1">
      <c r="A23" s="3" t="n">
        <v>20</v>
      </c>
      <c r="B23" s="3" t="inlineStr">
        <is>
          <t>Вынужденный нормальный останов ГПА№2 из-за отказа датчика температуры подшипника TE 401-1</t>
        </is>
      </c>
      <c r="C23" s="3" t="inlineStr">
        <is>
          <t>03.02.2018</t>
        </is>
      </c>
      <c r="D23" s="3" t="inlineStr">
        <is>
          <t>№1</t>
        </is>
      </c>
      <c r="E23" s="3" t="inlineStr">
        <is>
          <t>ГПА №2</t>
        </is>
      </c>
      <c r="F23" s="6" t="inlineStr">
        <is>
          <t>Открыть акт (PDF)</t>
        </is>
      </c>
      <c r="G23" s="7" t="n">
        <v>69</v>
      </c>
    </row>
    <row r="24" ht="32" customHeight="1">
      <c r="A24" s="3" t="n">
        <v>21</v>
      </c>
      <c r="B24" s="3" t="inlineStr">
        <is>
          <t>Автоматический останов ГПА№1,3 из-за отказа датчика температуры охлаждающей жидкости ГПЭС№3</t>
        </is>
      </c>
      <c r="C24" s="3" t="inlineStr">
        <is>
          <t>21.02.2018</t>
        </is>
      </c>
      <c r="D24" s="3" t="inlineStr">
        <is>
          <t>№2</t>
        </is>
      </c>
      <c r="E24" s="3" t="inlineStr">
        <is>
          <t>ГПА №1, ГПА №3</t>
        </is>
      </c>
      <c r="F24" s="6" t="inlineStr">
        <is>
          <t>Открыть акт (PDF)</t>
        </is>
      </c>
      <c r="G24" s="7" t="n">
        <v>70</v>
      </c>
    </row>
    <row r="25" ht="32" customHeight="1">
      <c r="A25" s="3" t="n">
        <v>22</v>
      </c>
      <c r="B25" s="3" t="inlineStr">
        <is>
          <t>Вынужденный нормальный останов ГПА№1 из-за высоких показаний датчика вибрации газогенератора VT-457</t>
        </is>
      </c>
      <c r="C25" s="3" t="inlineStr">
        <is>
          <t>30.03.2018</t>
        </is>
      </c>
      <c r="D25" s="3" t="inlineStr">
        <is>
          <t>№5</t>
        </is>
      </c>
      <c r="E25" s="3" t="inlineStr">
        <is>
          <t>ГПА №1</t>
        </is>
      </c>
      <c r="F25" s="6" t="inlineStr">
        <is>
          <t>Открыть акт (PDF)</t>
        </is>
      </c>
      <c r="G25" s="7" t="n">
        <v>71</v>
      </c>
    </row>
    <row r="26" ht="32" customHeight="1">
      <c r="A26" s="3" t="n">
        <v>23</v>
      </c>
      <c r="B26" s="3" t="inlineStr">
        <is>
          <t>Автоматический останов ГПА№1,3 из-за отказа микропроцессора вводного автомата К51-PR122/P ГПЭС№3</t>
        </is>
      </c>
      <c r="C26" s="3" t="inlineStr">
        <is>
          <t>25.06.2018</t>
        </is>
      </c>
      <c r="D26" s="3" t="inlineStr">
        <is>
          <t>№8</t>
        </is>
      </c>
      <c r="E26" s="3" t="inlineStr">
        <is>
          <t>ГПА №1, ГПА №3</t>
        </is>
      </c>
      <c r="F26" s="6" t="inlineStr">
        <is>
          <t>Открыть акт (PDF)</t>
        </is>
      </c>
      <c r="G26" s="7" t="n">
        <v>72</v>
      </c>
    </row>
    <row r="27" ht="32" customHeight="1">
      <c r="A27" s="3" t="n">
        <v>24</v>
      </c>
      <c r="B27" s="3" t="inlineStr">
        <is>
          <t>Автоматический останов ГПА№1,2 из-за ослабления контакта предохранителя CDVR ГПЭС№1</t>
        </is>
      </c>
      <c r="C27" s="3" t="inlineStr">
        <is>
          <t>26.06.2018</t>
        </is>
      </c>
      <c r="D27" s="3" t="inlineStr">
        <is>
          <t>№9</t>
        </is>
      </c>
      <c r="E27" s="3" t="inlineStr">
        <is>
          <t>ГПА №1, ГПА №2</t>
        </is>
      </c>
      <c r="F27" s="6" t="inlineStr">
        <is>
          <t>Открыть акт (PDF)</t>
        </is>
      </c>
      <c r="G27" s="7" t="n">
        <v>73</v>
      </c>
    </row>
    <row r="28" ht="32" customHeight="1">
      <c r="A28" s="3" t="n">
        <v>25</v>
      </c>
      <c r="B28" s="3" t="inlineStr">
        <is>
          <t>Вынужденный нормальный останов ГПА№3 из-за кратковременной потери показаний модуля ввода/вывода MTL8000 UCP-1</t>
        </is>
      </c>
      <c r="C28" s="3" t="inlineStr">
        <is>
          <t>31.03.2019</t>
        </is>
      </c>
      <c r="D28" s="3" t="inlineStr">
        <is>
          <t>№1</t>
        </is>
      </c>
      <c r="E28" s="3" t="inlineStr">
        <is>
          <t>ГПА №3</t>
        </is>
      </c>
      <c r="F28" s="6" t="inlineStr">
        <is>
          <t>Открыть акт (PDF)</t>
        </is>
      </c>
      <c r="G28" s="7" t="n">
        <v>74</v>
      </c>
    </row>
    <row r="29" ht="32" customHeight="1">
      <c r="A29" s="3" t="n">
        <v>26</v>
      </c>
      <c r="B29" s="3" t="inlineStr">
        <is>
          <t>Останов ГПА№1,2,3 вследствие выхода из строя ИБП№1 и каскадного срабатывания защит станции</t>
        </is>
      </c>
      <c r="C29" s="3" t="inlineStr">
        <is>
          <t>13.04.2019</t>
        </is>
      </c>
      <c r="D29" s="3" t="inlineStr">
        <is>
          <t>№2</t>
        </is>
      </c>
      <c r="E29" s="3" t="inlineStr">
        <is>
          <t>ГПА №1, ГПА №2, ГПА №3</t>
        </is>
      </c>
      <c r="F29" s="6" t="inlineStr">
        <is>
          <t>Открыть акт (PDF)</t>
        </is>
      </c>
      <c r="G29" s="7" t="n">
        <v>75</v>
      </c>
    </row>
    <row r="30" ht="32" customHeight="1">
      <c r="A30" s="3" t="n">
        <v>27</v>
      </c>
      <c r="B30" s="3" t="inlineStr">
        <is>
          <t>Автоматический останов ГПА№1,2 из-за ошибки персонала при переключении ГПЭС№2 на ГПЭС№3</t>
        </is>
      </c>
      <c r="C30" s="3" t="inlineStr">
        <is>
          <t>20.04.2019</t>
        </is>
      </c>
      <c r="D30" s="3" t="inlineStr">
        <is>
          <t>№3</t>
        </is>
      </c>
      <c r="E30" s="3" t="inlineStr">
        <is>
          <t>ГПА №1, ГПА №2</t>
        </is>
      </c>
      <c r="F30" s="6" t="inlineStr">
        <is>
          <t>Открыть акт (PDF)</t>
        </is>
      </c>
      <c r="G30" s="7" t="n">
        <v>76</v>
      </c>
    </row>
    <row r="31" ht="32" customHeight="1">
      <c r="A31" s="3" t="n">
        <v>28</v>
      </c>
      <c r="B31" s="3" t="inlineStr">
        <is>
          <t>Автоматический останов ГПА№3 из-за потери связи между Mark VIe и контроллером системы пожаротушения HIMatrix</t>
        </is>
      </c>
      <c r="C31" s="3" t="inlineStr">
        <is>
          <t>08.05.2019</t>
        </is>
      </c>
      <c r="D31" s="3" t="inlineStr">
        <is>
          <t>№4</t>
        </is>
      </c>
      <c r="E31" s="3" t="inlineStr">
        <is>
          <t>ГПА №3</t>
        </is>
      </c>
      <c r="F31" s="6" t="inlineStr">
        <is>
          <t>Открыть акт (PDF)</t>
        </is>
      </c>
      <c r="G31" s="7" t="n">
        <v>77</v>
      </c>
    </row>
    <row r="32" ht="32" customHeight="1">
      <c r="A32" s="3" t="n">
        <v>29</v>
      </c>
      <c r="B32" s="3" t="inlineStr">
        <is>
          <t>Вынужденный нормальный останов ГПА№1,3 из-за повторного отказа ИБП№1 и потери управления станцией</t>
        </is>
      </c>
      <c r="C32" s="3" t="inlineStr">
        <is>
          <t>18.06.2019</t>
        </is>
      </c>
      <c r="D32" s="3" t="inlineStr">
        <is>
          <t>№5</t>
        </is>
      </c>
      <c r="E32" s="3" t="inlineStr">
        <is>
          <t>ГПА №1, ГПА №3</t>
        </is>
      </c>
      <c r="F32" s="6" t="inlineStr">
        <is>
          <t>Открыть акт (PDF)</t>
        </is>
      </c>
      <c r="G32" s="7" t="n">
        <v>78</v>
      </c>
    </row>
    <row r="33" ht="32" customHeight="1">
      <c r="A33" s="3" t="n">
        <v>30</v>
      </c>
      <c r="B33" s="3" t="inlineStr">
        <is>
          <t>Автоматический останов ГПА№2,3 из-за короткого замыкания самодельного нагрузочного модуля НУ-640 на ГПЭС№2</t>
        </is>
      </c>
      <c r="C33" s="3" t="inlineStr">
        <is>
          <t>21.07.2019</t>
        </is>
      </c>
      <c r="D33" s="3" t="inlineStr">
        <is>
          <t>№6</t>
        </is>
      </c>
      <c r="E33" s="3" t="inlineStr">
        <is>
          <t>ГПА №2, ГПА №3</t>
        </is>
      </c>
      <c r="F33" s="6" t="inlineStr">
        <is>
          <t>Открыть акт (PDF)</t>
        </is>
      </c>
      <c r="G33" s="7" t="n">
        <v>79</v>
      </c>
    </row>
  </sheetData>
  <mergeCells count="1">
    <mergeCell ref="A1:G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5" r:id="rId22"/>
    <hyperlink xmlns:r="http://schemas.openxmlformats.org/officeDocument/2006/relationships" ref="F26" r:id="rId23"/>
    <hyperlink xmlns:r="http://schemas.openxmlformats.org/officeDocument/2006/relationships" ref="F27" r:id="rId24"/>
    <hyperlink xmlns:r="http://schemas.openxmlformats.org/officeDocument/2006/relationships" ref="F28" r:id="rId25"/>
    <hyperlink xmlns:r="http://schemas.openxmlformats.org/officeDocument/2006/relationships" ref="F29" r:id="rId26"/>
    <hyperlink xmlns:r="http://schemas.openxmlformats.org/officeDocument/2006/relationships" ref="F30" r:id="rId27"/>
    <hyperlink xmlns:r="http://schemas.openxmlformats.org/officeDocument/2006/relationships" ref="F31" r:id="rId28"/>
    <hyperlink xmlns:r="http://schemas.openxmlformats.org/officeDocument/2006/relationships" ref="F32" r:id="rId29"/>
    <hyperlink xmlns:r="http://schemas.openxmlformats.org/officeDocument/2006/relationships" ref="F33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8" t="inlineStr">
        <is>
          <t>СВОДНАЯ ТАБЛИЦА ПО ГОДАМ (авторасчёт по данным листа "База_данных")</t>
        </is>
      </c>
    </row>
    <row r="3">
      <c r="A3" s="2" t="inlineStr">
        <is>
          <t>Год</t>
        </is>
      </c>
      <c r="B3" s="2" t="inlineStr">
        <is>
          <t>ГПА №1</t>
        </is>
      </c>
      <c r="C3" s="2" t="inlineStr">
        <is>
          <t>ГПА №2</t>
        </is>
      </c>
      <c r="D3" s="2" t="inlineStr">
        <is>
          <t>ГПА №3</t>
        </is>
      </c>
    </row>
    <row r="4">
      <c r="A4" s="9" t="n">
        <v>2018</v>
      </c>
      <c r="B4" s="10">
        <f>IFERROR(IF(SUMIFS(База_данных!$C$4:$C$46,База_данных!$A$4:$A$46,A4,База_данных!$B$4:$B$46,"ГПА №1")=0,"",SUMIFS(База_данных!$C$4:$C$46,База_данных!$A$4:$A$46,A4,База_данных!$B$4:$B$46,"ГПА №1")),"")</f>
        <v/>
      </c>
      <c r="C4" s="10">
        <f>IFERROR(IF(SUMIFS(База_данных!$C$4:$C$46,База_данных!$A$4:$A$46,A4,База_данных!$B$4:$B$46,"ГПА №2")=0,"",SUMIFS(База_данных!$C$4:$C$46,База_данных!$A$4:$A$46,A4,База_данных!$B$4:$B$46,"ГПА №2")),"")</f>
        <v/>
      </c>
      <c r="D4" s="10">
        <f>IFERROR(IF(SUMIFS(База_данных!$C$4:$C$46,База_данных!$A$4:$A$46,A4,База_данных!$B$4:$B$46,"ГПА №3")=0,"",SUMIFS(База_данных!$C$4:$C$46,База_данных!$A$4:$A$46,A4,База_данных!$B$4:$B$46,"ГПА №3")),"")</f>
        <v/>
      </c>
    </row>
    <row r="5">
      <c r="A5" s="9" t="n">
        <v>2019</v>
      </c>
      <c r="B5" s="10">
        <f>IFERROR(IF(SUMIFS(База_данных!$C$4:$C$46,База_данных!$A$4:$A$46,A5,База_данных!$B$4:$B$46,"ГПА №1")=0,"",SUMIFS(База_данных!$C$4:$C$46,База_данных!$A$4:$A$46,A5,База_данных!$B$4:$B$46,"ГПА №1")),"")</f>
        <v/>
      </c>
      <c r="C5" s="10">
        <f>IFERROR(IF(SUMIFS(База_данных!$C$4:$C$46,База_данных!$A$4:$A$46,A5,База_данных!$B$4:$B$46,"ГПА №2")=0,"",SUMIFS(База_данных!$C$4:$C$46,База_данных!$A$4:$A$46,A5,База_данных!$B$4:$B$46,"ГПА №2")),"")</f>
        <v/>
      </c>
      <c r="D5" s="10">
        <f>IFERROR(IF(SUMIFS(База_данных!$C$4:$C$46,База_данных!$A$4:$A$46,A5,База_данных!$B$4:$B$46,"ГПА №3")=0,"",SUMIFS(База_данных!$C$4:$C$46,База_данных!$A$4:$A$46,A5,База_данных!$B$4:$B$46,"ГПА №3")),"")</f>
        <v/>
      </c>
    </row>
    <row r="6">
      <c r="A6" s="9" t="n">
        <v>2020</v>
      </c>
      <c r="B6" s="10">
        <f>IFERROR(IF(SUMIFS(База_данных!$C$4:$C$46,База_данных!$A$4:$A$46,A6,База_данных!$B$4:$B$46,"ГПА №1")=0,"",SUMIFS(База_данных!$C$4:$C$46,База_данных!$A$4:$A$46,A6,База_данных!$B$4:$B$46,"ГПА №1")),"")</f>
        <v/>
      </c>
      <c r="C6" s="10">
        <f>IFERROR(IF(SUMIFS(База_данных!$C$4:$C$46,База_данных!$A$4:$A$46,A6,База_данных!$B$4:$B$46,"ГПА №2")=0,"",SUMIFS(База_данных!$C$4:$C$46,База_данных!$A$4:$A$46,A6,База_данных!$B$4:$B$46,"ГПА №2")),"")</f>
        <v/>
      </c>
      <c r="D6" s="10">
        <f>IFERROR(IF(SUMIFS(База_данных!$C$4:$C$46,База_данных!$A$4:$A$46,A6,База_данных!$B$4:$B$46,"ГПА №3")=0,"",SUMIFS(База_данных!$C$4:$C$46,База_данных!$A$4:$A$46,A6,База_данных!$B$4:$B$46,"ГПА №3")),"")</f>
        <v/>
      </c>
    </row>
    <row r="7">
      <c r="A7" s="9" t="n">
        <v>2021</v>
      </c>
      <c r="B7" s="10">
        <f>IFERROR(IF(SUMIFS(База_данных!$C$4:$C$46,База_данных!$A$4:$A$46,A7,База_данных!$B$4:$B$46,"ГПА №1")=0,"",SUMIFS(База_данных!$C$4:$C$46,База_данных!$A$4:$A$46,A7,База_данных!$B$4:$B$46,"ГПА №1")),"")</f>
        <v/>
      </c>
      <c r="C7" s="10">
        <f>IFERROR(IF(SUMIFS(База_данных!$C$4:$C$46,База_данных!$A$4:$A$46,A7,База_данных!$B$4:$B$46,"ГПА №2")=0,"",SUMIFS(База_данных!$C$4:$C$46,База_данных!$A$4:$A$46,A7,База_данных!$B$4:$B$46,"ГПА №2")),"")</f>
        <v/>
      </c>
      <c r="D7" s="10">
        <f>IFERROR(IF(SUMIFS(База_данных!$C$4:$C$46,База_данных!$A$4:$A$46,A7,База_данных!$B$4:$B$46,"ГПА №3")=0,"",SUMIFS(База_данных!$C$4:$C$46,База_данных!$A$4:$A$46,A7,База_данных!$B$4:$B$46,"ГПА №3")),"")</f>
        <v/>
      </c>
    </row>
    <row r="8">
      <c r="A8" s="9" t="n">
        <v>2022</v>
      </c>
      <c r="B8" s="10">
        <f>IFERROR(IF(SUMIFS(База_данных!$C$4:$C$46,База_данных!$A$4:$A$46,A8,База_данных!$B$4:$B$46,"ГПА №1")=0,"",SUMIFS(База_данных!$C$4:$C$46,База_данных!$A$4:$A$46,A8,База_данных!$B$4:$B$46,"ГПА №1")),"")</f>
        <v/>
      </c>
      <c r="C8" s="10">
        <f>IFERROR(IF(SUMIFS(База_данных!$C$4:$C$46,База_данных!$A$4:$A$46,A8,База_данных!$B$4:$B$46,"ГПА №2")=0,"",SUMIFS(База_данных!$C$4:$C$46,База_данных!$A$4:$A$46,A8,База_данных!$B$4:$B$46,"ГПА №2")),"")</f>
        <v/>
      </c>
      <c r="D8" s="10">
        <f>IFERROR(IF(SUMIFS(База_данных!$C$4:$C$46,База_данных!$A$4:$A$46,A8,База_данных!$B$4:$B$46,"ГПА №3")=0,"",SUMIFS(База_данных!$C$4:$C$46,База_данных!$A$4:$A$46,A8,База_данных!$B$4:$B$46,"ГПА №3")),"")</f>
        <v/>
      </c>
    </row>
    <row r="9">
      <c r="A9" s="9" t="n">
        <v>2023</v>
      </c>
      <c r="B9" s="10">
        <f>IFERROR(IF(SUMIFS(База_данных!$C$4:$C$46,База_данных!$A$4:$A$46,A9,База_данных!$B$4:$B$46,"ГПА №1")=0,"",SUMIFS(База_данных!$C$4:$C$46,База_данных!$A$4:$A$46,A9,База_данных!$B$4:$B$46,"ГПА №1")),"")</f>
        <v/>
      </c>
      <c r="C9" s="10">
        <f>IFERROR(IF(SUMIFS(База_данных!$C$4:$C$46,База_данных!$A$4:$A$46,A9,База_данных!$B$4:$B$46,"ГПА №2")=0,"",SUMIFS(База_данных!$C$4:$C$46,База_данных!$A$4:$A$46,A9,База_данных!$B$4:$B$46,"ГПА №2")),"")</f>
        <v/>
      </c>
      <c r="D9" s="10">
        <f>IFERROR(IF(SUMIFS(База_данных!$C$4:$C$46,База_данных!$A$4:$A$46,A9,База_данных!$B$4:$B$46,"ГПА №3")=0,"",SUMIFS(База_данных!$C$4:$C$46,База_данных!$A$4:$A$46,A9,База_данных!$B$4:$B$46,"ГПА №3")),"")</f>
        <v/>
      </c>
    </row>
    <row r="10">
      <c r="A10" s="9" t="n">
        <v>2024</v>
      </c>
      <c r="B10" s="10">
        <f>IFERROR(IF(SUMIFS(База_данных!$C$4:$C$46,База_данных!$A$4:$A$46,A10,База_данных!$B$4:$B$46,"ГПА №1")=0,"",SUMIFS(База_данных!$C$4:$C$46,База_данных!$A$4:$A$46,A10,База_данных!$B$4:$B$46,"ГПА №1")),"")</f>
        <v/>
      </c>
      <c r="C10" s="10">
        <f>IFERROR(IF(SUMIFS(База_данных!$C$4:$C$46,База_данных!$A$4:$A$46,A10,База_данных!$B$4:$B$46,"ГПА №2")=0,"",SUMIFS(База_данных!$C$4:$C$46,База_данных!$A$4:$A$46,A10,База_данных!$B$4:$B$46,"ГПА №2")),"")</f>
        <v/>
      </c>
      <c r="D10" s="10">
        <f>IFERROR(IF(SUMIFS(База_данных!$C$4:$C$46,База_данных!$A$4:$A$46,A10,База_данных!$B$4:$B$46,"ГПА №3")=0,"",SUMIFS(База_данных!$C$4:$C$46,База_данных!$A$4:$A$46,A10,База_данных!$B$4:$B$46,"ГПА №3")),"")</f>
        <v/>
      </c>
    </row>
    <row r="11">
      <c r="A11" s="9" t="n">
        <v>2025</v>
      </c>
      <c r="B11" s="10">
        <f>IFERROR(IF(SUMIFS(База_данных!$C$4:$C$46,База_данных!$A$4:$A$46,A11,База_данных!$B$4:$B$46,"ГПА №1")=0,"",SUMIFS(База_данных!$C$4:$C$46,База_данных!$A$4:$A$46,A11,База_данных!$B$4:$B$46,"ГПА №1")),"")</f>
        <v/>
      </c>
      <c r="C11" s="10">
        <f>IFERROR(IF(SUMIFS(База_данных!$C$4:$C$46,База_данных!$A$4:$A$46,A11,База_данных!$B$4:$B$46,"ГПА №2")=0,"",SUMIFS(База_данных!$C$4:$C$46,База_данных!$A$4:$A$46,A11,База_данных!$B$4:$B$46,"ГПА №2")),"")</f>
        <v/>
      </c>
      <c r="D11" s="10">
        <f>IFERROR(IF(SUMIFS(База_данных!$C$4:$C$46,База_данных!$A$4:$A$46,A11,База_данных!$B$4:$B$46,"ГПА №3")=0,"",SUMIFS(База_данных!$C$4:$C$46,База_данных!$A$4:$A$46,A11,База_данных!$B$4:$B$46,"ГПА №3")),"")</f>
        <v/>
      </c>
    </row>
    <row r="12">
      <c r="A12" s="9" t="n">
        <v>2026</v>
      </c>
      <c r="B12" s="10">
        <f>IFERROR(IF(SUMIFS(База_данных!$C$4:$C$46,База_данных!$A$4:$A$46,A12,База_данных!$B$4:$B$46,"ГПА №1")=0,"",SUMIFS(База_данных!$C$4:$C$46,База_данных!$A$4:$A$46,A12,База_данных!$B$4:$B$46,"ГПА №1")),"")</f>
        <v/>
      </c>
      <c r="C12" s="10">
        <f>IFERROR(IF(SUMIFS(База_данных!$C$4:$C$46,База_данных!$A$4:$A$46,A12,База_данных!$B$4:$B$46,"ГПА №2")=0,"",SUMIFS(База_данных!$C$4:$C$46,База_данных!$A$4:$A$46,A12,База_данных!$B$4:$B$46,"ГПА №2")),"")</f>
        <v/>
      </c>
      <c r="D12" s="10">
        <f>IFERROR(IF(SUMIFS(База_данных!$C$4:$C$46,База_данных!$A$4:$A$46,A12,База_данных!$B$4:$B$46,"ГПА №3")=0,"",SUMIFS(База_данных!$C$4:$C$46,База_данных!$A$4:$A$46,A12,База_данных!$B$4:$B$46,"ГПА №3")),"")</f>
        <v/>
      </c>
    </row>
    <row r="13">
      <c r="A13" s="11" t="inlineStr">
        <is>
          <t>ИТОГО</t>
        </is>
      </c>
      <c r="B13" s="11">
        <f>SUMIFS(База_данных!$C$4:$C$46,База_данных!$B$4:$B$46,"ГПА №1")</f>
        <v/>
      </c>
      <c r="C13" s="11">
        <f>SUMIFS(База_данных!$C$4:$C$46,База_данных!$B$4:$B$46,"ГПА №2")</f>
        <v/>
      </c>
      <c r="D13" s="11">
        <f>SUMIFS(База_данных!$C$4:$C$46,База_данных!$B$4:$B$46,"ГПА №3")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4" customWidth="1" min="4" max="4"/>
    <col width="14" customWidth="1" min="5" max="5"/>
    <col width="20" customWidth="1" min="6" max="6"/>
    <col width="45" customWidth="1" min="7" max="7"/>
    <col width="35" customWidth="1" min="8" max="8"/>
    <col width="35" customWidth="1" min="9" max="9"/>
  </cols>
  <sheetData>
    <row r="1" ht="26" customHeight="1">
      <c r="A1" s="8" t="inlineStr">
        <is>
          <t>ДЕТАЛИЗАЦИЯ ИНЦИДЕНТОВ ПО АКТАМ ТЕХНИЧЕСКОГО РАССЛЕДОВАНИЯ</t>
        </is>
      </c>
    </row>
    <row r="3">
      <c r="A3" s="12" t="inlineStr">
        <is>
          <t>№ Акта</t>
        </is>
      </c>
      <c r="B3" s="12" t="inlineStr">
        <is>
          <t>Дата</t>
        </is>
      </c>
      <c r="C3" s="12" t="inlineStr">
        <is>
          <t>Время</t>
        </is>
      </c>
      <c r="D3" s="12" t="inlineStr">
        <is>
          <t>ГПА</t>
        </is>
      </c>
      <c r="E3" s="12" t="inlineStr">
        <is>
          <t>Тип останова</t>
        </is>
      </c>
      <c r="F3" s="12" t="inlineStr">
        <is>
          <t>Категория причины</t>
        </is>
      </c>
      <c r="G3" s="12" t="inlineStr">
        <is>
          <t>Причина (описание)</t>
        </is>
      </c>
      <c r="H3" s="12" t="inlineStr">
        <is>
          <t>Меры при останове</t>
        </is>
      </c>
      <c r="I3" s="12" t="inlineStr">
        <is>
          <t>Заключение / Принятые меры</t>
        </is>
      </c>
    </row>
    <row r="4" ht="95" customHeight="1">
      <c r="A4" s="13" t="inlineStr">
        <is>
          <t>№1 от 10.06.2020</t>
        </is>
      </c>
      <c r="B4" s="14" t="inlineStr">
        <is>
          <t>10.06.2020</t>
        </is>
      </c>
      <c r="C4" s="14" t="inlineStr">
        <is>
          <t>10:29</t>
        </is>
      </c>
      <c r="D4" s="14" t="inlineStr">
        <is>
          <t>ГПА №2</t>
        </is>
      </c>
      <c r="E4" s="14" t="inlineStr">
        <is>
          <t>Автоматический</t>
        </is>
      </c>
      <c r="F4" s="14" t="inlineStr">
        <is>
          <t>Электросеть / переключение агрегатов</t>
        </is>
      </c>
      <c r="G4" s="15" t="inlineStr">
        <is>
          <t>При переключении с ГПА№2 на ГПА№3 нагрузка ГПЭС№1 достигла 841 кВт, скачок частоты с 50 до 57,2 Гц вызвал срабатывание защиты и отключение автомата ABB 2500A. ГПЭС№1 остался без нагрузки, АДЭС не запустился, из-за отсутствия питания электродвигателей КВОУ произошел останов ГПА№2 по низкому давлению датчика PDIT 563 A/B. Запущена резервная ГПЭС№3, синхронизирована с ГПЭС№1.</t>
        </is>
      </c>
      <c r="H4" s="15" t="inlineStr"/>
      <c r="I4" s="15" t="inlineStr">
        <is>
          <t xml:space="preserve">ГПЭС №1 выведен в «резерв».
</t>
        </is>
      </c>
    </row>
    <row r="5" ht="95" customHeight="1">
      <c r="A5" s="13" t="inlineStr">
        <is>
          <t>№1 от 01.02.2022</t>
        </is>
      </c>
      <c r="B5" s="14" t="inlineStr">
        <is>
          <t>01.02.2022</t>
        </is>
      </c>
      <c r="C5" s="14" t="inlineStr">
        <is>
          <t>23:43</t>
        </is>
      </c>
      <c r="D5" s="14" t="inlineStr">
        <is>
          <t>ГПА №3</t>
        </is>
      </c>
      <c r="E5" s="14" t="inlineStr">
        <is>
          <t>Автоматический</t>
        </is>
      </c>
      <c r="F5" s="14" t="inlineStr">
        <is>
          <t>Настройка/калибровка камеры сгорания (DLE)</t>
        </is>
      </c>
      <c r="G5" s="15" t="inlineStr">
        <is>
          <t>При повышении оборотов ГТУ №2,3 с 4950 до 5250 об/мин, при переходе режима «АВ»→«АВС» открытие клапана FCV-107 на 19,3% и CDP-клапана FCV-211 на 6,29% снизило давление воздуха в камере сгорания ниже нормы, коэффициент «blowout» превысил предел 15%, произошла потеря пламени. Запущен резервный ГПА№1.</t>
        </is>
      </c>
      <c r="H5" s="15" t="inlineStr">
        <is>
          <t>Проверка клапанов CDP/FCV-104/105/107, протяжка контактов клапанов и датчиков пламени BE-473 A/B.</t>
        </is>
      </c>
      <c r="I5" s="15" t="inlineStr">
        <is>
          <t>ГПА №3 выведен в «резерв» с исключением режима работы камеры сгорания «АВС». Человеческий фактор персонала исключен.
Проверка клапанов CDP/FCV-104/105/107, протяжка контактов клапанов и датчиков пламени BE-473 A/B.</t>
        </is>
      </c>
    </row>
    <row r="6" ht="95" customHeight="1">
      <c r="A6" s="13" t="inlineStr">
        <is>
          <t>№2 от 11.03.2022</t>
        </is>
      </c>
      <c r="B6" s="14" t="inlineStr">
        <is>
          <t>11.03.2022</t>
        </is>
      </c>
      <c r="C6" s="14" t="inlineStr">
        <is>
          <t>19:43</t>
        </is>
      </c>
      <c r="D6" s="14" t="inlineStr">
        <is>
          <t>ГПА №3</t>
        </is>
      </c>
      <c r="E6" s="14" t="inlineStr">
        <is>
          <t>Автоматический</t>
        </is>
      </c>
      <c r="F6" s="14" t="inlineStr">
        <is>
          <t>Настройка/калибровка камеры сгорания (DLE)</t>
        </is>
      </c>
      <c r="G6" s="15" t="inlineStr">
        <is>
          <t>Зафиксирован Alarm «Flame out trip» — потеря пламени в камере сгорания. Установлено несоответствие значений Т3 в таблицах DLE Mapping зимнего режима значениям, установленным в ПЛК T10, из-за чего при высоких оборотах некорректно работал режим «АВС». Запущен резервный ГПА№2.</t>
        </is>
      </c>
      <c r="H6" s="15" t="inlineStr">
        <is>
          <t>Проверка CDP-клапана FCV-211 и дозирующих клапанов FCV-104/105/107, протяжка контактов клапанов и датчиков пламени BE-473 A/B.</t>
        </is>
      </c>
      <c r="I6" s="15" t="inlineStr">
        <is>
          <t>Человеческий фактор обслуживающего персонала КС-1 исключен.
Проверка CDP-клапана FCV-211 и дозирующих клапанов FCV-104/105/107, протяжка контактов клапанов и датчиков пламени BE-473 A/B.</t>
        </is>
      </c>
    </row>
    <row r="7" ht="95" customHeight="1">
      <c r="A7" s="13" t="inlineStr">
        <is>
          <t>№3 от 25.04.2022</t>
        </is>
      </c>
      <c r="B7" s="14" t="inlineStr">
        <is>
          <t>25.04.2022</t>
        </is>
      </c>
      <c r="C7" s="14" t="inlineStr">
        <is>
          <t>10:14</t>
        </is>
      </c>
      <c r="D7" s="14" t="inlineStr">
        <is>
          <t>ГПА №2</t>
        </is>
      </c>
      <c r="E7" s="14" t="inlineStr">
        <is>
          <t>Автоматический</t>
        </is>
      </c>
      <c r="F7" s="14" t="inlineStr">
        <is>
          <t>Человеческий фактор</t>
        </is>
      </c>
      <c r="G7" s="15" t="inlineStr">
        <is>
          <t>При активации автоматического режима АСПТ (пожаротушение CO2) сменный инженер вместо кнопки «выбор» нажал «стрелка вправо» и по ошибке активировал команду «пуск АСПТ», введя 4-значный код, что привело к Авто останову ГПА№2 (срабатывание ESDII по алярму CO2 Pre-Discharge). Запущен резервный ГПА№3, режим МГ восстановлен за 28 минут.</t>
        </is>
      </c>
      <c r="H7" s="15" t="inlineStr"/>
      <c r="I7" s="15" t="inlineStr">
        <is>
          <t xml:space="preserve">ГПА №2 выведен в «резерв». Систему пожаротушения CO2 необходимо модернизировать.
</t>
        </is>
      </c>
    </row>
    <row r="8" ht="95" customHeight="1">
      <c r="A8" s="13" t="inlineStr">
        <is>
          <t>№5 от 07.06.2022</t>
        </is>
      </c>
      <c r="B8" s="14" t="inlineStr">
        <is>
          <t>07.06.2022</t>
        </is>
      </c>
      <c r="C8" s="14" t="inlineStr">
        <is>
          <t>18:56</t>
        </is>
      </c>
      <c r="D8" s="14" t="inlineStr">
        <is>
          <t>ГПА №2</t>
        </is>
      </c>
      <c r="E8" s="14" t="inlineStr">
        <is>
          <t>Автоматический</t>
        </is>
      </c>
      <c r="F8" s="14" t="inlineStr">
        <is>
          <t>Ложное срабатывание КИП</t>
        </is>
      </c>
      <c r="G8" s="15" t="inlineStr">
        <is>
          <t>Зафиксирован сигнал ошибки «process incorrect valves position» по свечному крану XV-784 из-за потери обратного статуса о закрытом положении крана. Проверка концевых выключателей дефектов не выявила — кран исправен.</t>
        </is>
      </c>
      <c r="H8" s="15" t="inlineStr">
        <is>
          <t>Контрольная проверка работоспособности свечного крана XV-784 перед запуском ГПА.</t>
        </is>
      </c>
      <c r="I8" s="15" t="inlineStr">
        <is>
          <t>Человеческий фактор персонала КС-1 отсутствует.
Контрольная проверка работоспособности свечного крана XV-784 перед запуском ГПА.</t>
        </is>
      </c>
    </row>
    <row r="9" ht="95" customHeight="1">
      <c r="A9" s="13" t="inlineStr">
        <is>
          <t>№1 от 11.03.2023</t>
        </is>
      </c>
      <c r="B9" s="14" t="inlineStr">
        <is>
          <t>11.03.2023</t>
        </is>
      </c>
      <c r="C9" s="14" t="inlineStr">
        <is>
          <t>10:08</t>
        </is>
      </c>
      <c r="D9" s="14" t="inlineStr">
        <is>
          <t>ГПА №2, ГПА №3</t>
        </is>
      </c>
      <c r="E9" s="14" t="inlineStr">
        <is>
          <t>Автоматический</t>
        </is>
      </c>
      <c r="F9" s="14" t="inlineStr">
        <is>
          <t>Техническая неисправность оборудования</t>
        </is>
      </c>
      <c r="G9" s="15" t="inlineStr">
        <is>
          <t>Из-за отсутствия нагрузочного модуля при запуске вентиляторов АВО газа резко возросла нагрузка и упала частота (382→582 кВт, 49→45 Гц), что вызвало АО ГПЭС№3. Сработала аварийная защита по перепаду давления в баке минерального масла, что привело к автооостанову ГПА №3 и №2. Запущены резервные ГПЭС№1 и ГПА№2,3.</t>
        </is>
      </c>
      <c r="H9" s="15" t="inlineStr"/>
      <c r="I9" s="15" t="inlineStr">
        <is>
          <t xml:space="preserve">ГПЭС №3 выведен в «резерв», ожидается приезд специалистов ТОО «ГазСервСтрой».
</t>
        </is>
      </c>
    </row>
    <row r="10" ht="113" customHeight="1">
      <c r="A10" s="13" t="inlineStr">
        <is>
          <t>№2 от 14.04.2023</t>
        </is>
      </c>
      <c r="B10" s="14" t="inlineStr">
        <is>
          <t>14.04.2023</t>
        </is>
      </c>
      <c r="C10" s="14" t="inlineStr">
        <is>
          <t>16:52</t>
        </is>
      </c>
      <c r="D10" s="14" t="inlineStr">
        <is>
          <t>ГПА №2</t>
        </is>
      </c>
      <c r="E10" s="14" t="inlineStr">
        <is>
          <t>Автоматический</t>
        </is>
      </c>
      <c r="F10" s="14" t="inlineStr">
        <is>
          <t>Отказ оборудования КИПиА</t>
        </is>
      </c>
      <c r="G10" s="15" t="inlineStr">
        <is>
          <t>Произошёл сбой передачи данных от датчиков систем минерального масла и сухого газового уплотнения, что повлекло Автоостанов ГПА№2. Причина — выход из строя модуля изолятора Profibus (Railbus MTL) №RB6-2 в шкафу RIO Panel JB-2.</t>
        </is>
      </c>
      <c r="H10" s="15" t="inlineStr">
        <is>
          <t>Выявление и замена неисправного модуля изолятора Railbus №RB6-2 в шкафу RIO Panel JB-2.
Повреждено: Модуль изолятор Railbus (MTL 8000 I/O 8922-RB-IS), тэговый №RB6-2</t>
        </is>
      </c>
      <c r="I10" s="15" t="inlineStr">
        <is>
          <t>ГПА №2 выведен в «резерв».
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 — Акт выполненных работ Акт выполненных работ от 23.05.2026 от 23.05.2026 (выполнено)</t>
        </is>
      </c>
    </row>
    <row r="11" ht="95" customHeight="1">
      <c r="A11" s="13" t="inlineStr">
        <is>
          <t>№5 от 06.06.2023</t>
        </is>
      </c>
      <c r="B11" s="14" t="inlineStr">
        <is>
          <t>06.06.2023</t>
        </is>
      </c>
      <c r="C11" s="14" t="inlineStr">
        <is>
          <t>15:23</t>
        </is>
      </c>
      <c r="D11" s="14" t="inlineStr">
        <is>
          <t>ГПА №2</t>
        </is>
      </c>
      <c r="E11" s="14" t="inlineStr">
        <is>
          <t>Автоматический</t>
        </is>
      </c>
      <c r="F11" s="14" t="inlineStr">
        <is>
          <t>Ложное срабатывание КИП</t>
        </is>
      </c>
      <c r="G11" s="15" t="inlineStr">
        <is>
          <t>Кратковременное некорректное значение от концевых выключателей положения свечного крана XV-4204 вызвало сигнал «L86VM_ALM» и «L33P_ALM Process incorrect valves position», что инициировало АвтО ГПА№2.</t>
        </is>
      </c>
      <c r="H11" s="15" t="inlineStr">
        <is>
          <t>Проверка блока управления краном и импульсных трубок, ревизия соленоидного клапана, протяжка контактов концевых выключателей XV-4204.</t>
        </is>
      </c>
      <c r="I11" s="15" t="inlineStr">
        <is>
          <t>ГПА №2 выведен в работу.
Проверка блока управления краном и импульсных трубок, ревизия соленоидного клапана, протяжка контактов концевых выключателей XV-4204.</t>
        </is>
      </c>
    </row>
    <row r="12" ht="95" customHeight="1">
      <c r="A12" s="13" t="inlineStr">
        <is>
          <t>№1 от 04.03.2024</t>
        </is>
      </c>
      <c r="B12" s="14" t="inlineStr">
        <is>
          <t>04.03.2024</t>
        </is>
      </c>
      <c r="C12" s="14" t="inlineStr">
        <is>
          <t>08:06</t>
        </is>
      </c>
      <c r="D12" s="14" t="inlineStr">
        <is>
          <t>ГПА №1</t>
        </is>
      </c>
      <c r="E12" s="14" t="inlineStr">
        <is>
          <t>Автоматический</t>
        </is>
      </c>
      <c r="F12" s="14" t="inlineStr">
        <is>
          <t>Отказ оборудования КИПиА</t>
        </is>
      </c>
      <c r="G12" s="15" t="inlineStr">
        <is>
          <t>Данные с датчика температуры TE-147A начали проявлять нестабильность, что отразилось на разности температур обгонной муфты и синтетического масла, инициировав аварийный сигнал L26SDT_ALM и АвтО ГПА№1. Причина — некорректная работа модуля ввода RTD 8106-TI-RT (RIO R1) в шкафу MP-2 UCP1.</t>
        </is>
      </c>
      <c r="H12" s="15" t="inlineStr">
        <is>
          <t>Горячая замена модуля аналогового ввода MTL8000 RTD 8106-TI-RT (RIO R1).</t>
        </is>
      </c>
      <c r="I12" s="15" t="inlineStr">
        <is>
          <t>ГПА №1 выведен в «резерв».
Горячая замена модуля аналогового ввода MTL8000 RTD 8106-TI-RT (RIO R1).</t>
        </is>
      </c>
    </row>
    <row r="13" ht="95" customHeight="1">
      <c r="A13" s="13" t="inlineStr">
        <is>
          <t>№2 от 11.03.2024</t>
        </is>
      </c>
      <c r="B13" s="14" t="inlineStr">
        <is>
          <t>11.03.2024</t>
        </is>
      </c>
      <c r="C13" s="14" t="inlineStr">
        <is>
          <t>14:50</t>
        </is>
      </c>
      <c r="D13" s="14" t="inlineStr">
        <is>
          <t>ГПА №1, ГПА №3</t>
        </is>
      </c>
      <c r="E13" s="14" t="inlineStr">
        <is>
          <t>Вынужденный нормальный</t>
        </is>
      </c>
      <c r="F13" s="14" t="inlineStr">
        <is>
          <t>Техническая неисправность (вспомогательные системы)</t>
        </is>
      </c>
      <c r="G13" s="15" t="inlineStr">
        <is>
          <t>Резкое падение давления на выходе воздушного компрессора из-за непрерывного сброса воздуха через открытый клапан XV-3703B осушительной установки ВК№1 (застывшее состояние управляющего ПЛК), а также из-за отсутствия обратного клапана на линии «Воздушный компрессор — Воздушный ресивер». Выполнено переключение с ВК№1 на ВК№2.</t>
        </is>
      </c>
      <c r="H13" s="15" t="inlineStr">
        <is>
          <t>Перезагрузка ПЛК и комплексное опробование осушительной установки.</t>
        </is>
      </c>
      <c r="I13" s="15" t="inlineStr">
        <is>
          <t>ГПА №1,3 перезапущены в работу.
Перезагрузка ПЛК и комплексное опробование осушительной установки.</t>
        </is>
      </c>
    </row>
    <row r="14" ht="95" customHeight="1">
      <c r="A14" s="13" t="inlineStr">
        <is>
          <t>№3 от 10.05.2024</t>
        </is>
      </c>
      <c r="B14" s="14" t="inlineStr">
        <is>
          <t>10.05.2024</t>
        </is>
      </c>
      <c r="C14" s="14" t="inlineStr">
        <is>
          <t>10:54</t>
        </is>
      </c>
      <c r="D14" s="14" t="inlineStr">
        <is>
          <t>ГПА №3</t>
        </is>
      </c>
      <c r="E14" s="14" t="inlineStr">
        <is>
          <t>Автоматический</t>
        </is>
      </c>
      <c r="F14" s="14" t="inlineStr">
        <is>
          <t>Ложное срабатывание КИП / связь</t>
        </is>
      </c>
      <c r="G14" s="15" t="inlineStr">
        <is>
          <t>Зафиксированы сообщения о срабатывании 2 из 3 датчиков загазованности AE 557 A,B,C. Утечки газа не обнаружено. Причина — кратковременная потеря связи (потеря пакета данных) на коммутаторах NTRON 509 системы управления HIMA. Запущен резервный ГПА№2.</t>
        </is>
      </c>
      <c r="H14" s="15" t="inlineStr">
        <is>
          <t>Замена коммутаторов NTRON 509 системы HIMA. Калибровка датчиков загазованности AE 557 A,B,C.</t>
        </is>
      </c>
      <c r="I14" s="15" t="inlineStr">
        <is>
          <t>Человеческий фактор персонала КС-1 исключен.
Замена коммутаторов NTRON 509 системы HIMA. Калибровка датчиков загазованности AE 557 A,B,C.</t>
        </is>
      </c>
    </row>
    <row r="15" ht="95" customHeight="1">
      <c r="A15" s="13" t="inlineStr">
        <is>
          <t>№4 от 28.12.2024</t>
        </is>
      </c>
      <c r="B15" s="14" t="inlineStr">
        <is>
          <t>28.12.2024</t>
        </is>
      </c>
      <c r="C15" s="14" t="inlineStr">
        <is>
          <t>23:50</t>
        </is>
      </c>
      <c r="D15" s="14" t="inlineStr">
        <is>
          <t>ГПА №1</t>
        </is>
      </c>
      <c r="E15" s="14" t="inlineStr">
        <is>
          <t>Автоматический</t>
        </is>
      </c>
      <c r="F15" s="14" t="inlineStr">
        <is>
          <t>Электросеть / синхронизация агрегатов</t>
        </is>
      </c>
      <c r="G15" s="15" t="inlineStr">
        <is>
          <t>Обнаружены нестабильные обороты ГПЭС№1; при запуске ГПЭС№3 и №2 синхронизация с ГПЭС№1 не была произведена. Колебания оборотов вызвали колебания частоты сети (45–52 Гц), сработала защита по частоте, ГПЭС№1 остался без нагрузки — произошел останов ГПА№1. Запущены резервные ГПЭС№2,3, выполнена синхронизация.</t>
        </is>
      </c>
      <c r="H15" s="15" t="inlineStr">
        <is>
          <t>Проверка трендов, бороскопия цилиндров, ревизия генераторов, турбокомпрессоров — дефектов не обнаружено. Замена 16 свечей зажигания.</t>
        </is>
      </c>
      <c r="I15" s="15" t="inlineStr">
        <is>
          <t>ГПЭС №1 выведен в «резерв».
Проверка трендов, бороскопия цилиндров, ревизия генераторов, турбокомпрессоров — дефектов не обнаружено. Замена 16 свечей зажигания.</t>
        </is>
      </c>
    </row>
    <row r="16" ht="95" customHeight="1">
      <c r="A16" s="13" t="inlineStr">
        <is>
          <t>№1 от 02.05.2025</t>
        </is>
      </c>
      <c r="B16" s="14" t="inlineStr">
        <is>
          <t>02.05.2025</t>
        </is>
      </c>
      <c r="C16" s="14" t="inlineStr">
        <is>
          <t>19:00</t>
        </is>
      </c>
      <c r="D16" s="14" t="inlineStr">
        <is>
          <t>ГПА №1, ГПА №3</t>
        </is>
      </c>
      <c r="E16" s="14" t="inlineStr">
        <is>
          <t>Автоматический</t>
        </is>
      </c>
      <c r="F16" s="14" t="inlineStr">
        <is>
          <t>Внешняя/неподтвержденная причина</t>
        </is>
      </c>
      <c r="G16" s="15" t="inlineStr">
        <is>
          <t>Резкое отклонение параметров подачи топливного газа привело к останову ГПА№1 и №3 из-за потери пламени в камерах сгорания. Возможная причина — автоматическое закрытие крана MOV7501 (не подтверждено: САУ теплообменника не оснащена журналом событий).</t>
        </is>
      </c>
      <c r="H16" s="15" t="inlineStr">
        <is>
          <t>Открыта байпасная линия подачи газа на теплообменник. Ревизия шкафа управления теплообменника — дефектов не выявлено.</t>
        </is>
      </c>
      <c r="I16" s="15" t="inlineStr">
        <is>
          <t>ГПА №1, №3 выведены в работу.
Открыта байпасная линия подачи газа на теплообменник. Ревизия шкафа управления теплообменника — дефектов не выявлено.</t>
        </is>
      </c>
    </row>
    <row r="17" ht="95" customHeight="1">
      <c r="A17" s="13" t="inlineStr">
        <is>
          <t>№1 от 27.04.2026</t>
        </is>
      </c>
      <c r="B17" s="14" t="inlineStr">
        <is>
          <t>27.04.2026</t>
        </is>
      </c>
      <c r="C17" s="14" t="inlineStr">
        <is>
          <t>08:05</t>
        </is>
      </c>
      <c r="D17" s="14" t="inlineStr">
        <is>
          <t>ГПА №1, ГПА №3</t>
        </is>
      </c>
      <c r="E17" s="14" t="inlineStr">
        <is>
          <t>Автоматический</t>
        </is>
      </c>
      <c r="F17" s="14" t="inlineStr">
        <is>
          <t>Техническая неисправность оборудования</t>
        </is>
      </c>
      <c r="G17" s="15" t="inlineStr">
        <is>
          <t>Сильный посторонний шум и резкое снижение частоты ГПЭС№3 (49→43 Гц) привели к вынужденному останову ГПЭС№3. Из-за кратковременного обесточивания вспомогательных систем сработала защита по перепаду давления PDIT-563 в кожухе ГПА №1,3, что вызвало АвтО ГПА №1 и №3. Запущена резервная ГПЭС№2, ГПА№1,3 возвращены в работу.</t>
        </is>
      </c>
      <c r="H17" s="15" t="inlineStr">
        <is>
          <t xml:space="preserve">
Повреждено: Выявлены дефекты (повреждение) выпускных клапанов в цилиндрах №2,4,6,8,9,11 ГПЭС№3</t>
        </is>
      </c>
      <c r="I17" s="15" t="inlineStr">
        <is>
          <t xml:space="preserve">ГПЭС №3 выведен в «ремонт» — требуется замена ГБЦ №2,4,6,8,9,11.
</t>
        </is>
      </c>
    </row>
    <row r="18" ht="113" customHeight="1">
      <c r="A18" s="13" t="inlineStr">
        <is>
          <t>№4 от 01.06.2023</t>
        </is>
      </c>
      <c r="B18" s="14" t="inlineStr">
        <is>
          <t>01.06.2023</t>
        </is>
      </c>
      <c r="C18" s="14" t="inlineStr">
        <is>
          <t>22:00</t>
        </is>
      </c>
      <c r="D18" s="14" t="inlineStr">
        <is>
          <t>ГПА №2</t>
        </is>
      </c>
      <c r="E18" s="14" t="inlineStr">
        <is>
          <t>Вынужденный нормальный</t>
        </is>
      </c>
      <c r="F18" s="14" t="inlineStr">
        <is>
          <t>Техническая неисправность оборудования</t>
        </is>
      </c>
      <c r="G18" s="15" t="inlineStr">
        <is>
          <t>Во время работы ГПА№2 было зафиксировано снижение уровня синтетического масла в баке системы смазки. Обнаружена утечка синтетического масла с порта MP375C — дренажной линии CDP клапана (Bleed Valve). В связи с неисправностью CDP клапана, по согласованию с АКЦ произведён вынужденный нормальный останов ГПА№2 для предотвращения выхода из строя узлов газогенератора.</t>
        </is>
      </c>
      <c r="H18" s="15" t="inlineStr">
        <is>
          <t>После процедуры охлаждения ГПА произведена замена CDP клапана (Bleed Valve). Запуск ГПА№2 в режиме Manual после калибровки и настройки рабочих параметров (Calibration Crank).
Повреждено: При инспекции выявлен износ тефлонового уплотнительного кольца пружинно-поршневого затвора клапана</t>
        </is>
      </c>
      <c r="I18" s="15" t="inlineStr">
        <is>
          <t>ГПА №2 выведен в режим «резерв».
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 — Акт выполненных работ Акт выполненных работ от 04.06.2023 от 04.06.2023 (выполнено)</t>
        </is>
      </c>
    </row>
    <row r="19" ht="95" customHeight="1">
      <c r="A19" s="13" t="inlineStr">
        <is>
          <t>№3 от 07.03.2018</t>
        </is>
      </c>
      <c r="B19" s="14" t="inlineStr">
        <is>
          <t>07.03.2018</t>
        </is>
      </c>
      <c r="C19" s="14" t="inlineStr">
        <is>
          <t>04:58</t>
        </is>
      </c>
      <c r="D19" s="14" t="inlineStr">
        <is>
          <t>ГПА №1</t>
        </is>
      </c>
      <c r="E19" s="14" t="inlineStr">
        <is>
          <t>Автоматический</t>
        </is>
      </c>
      <c r="F19" s="14" t="inlineStr">
        <is>
          <t>Отказ оборудования КИПиА</t>
        </is>
      </c>
      <c r="G19" s="15" t="inlineStr">
        <is>
          <t>Некорректная работа позиционера клапана XV 222 — потеря сигнала обратной связи от позиционера о закрытии клапана, что привело к автоматическому останову ГПА№1. Пуск резервного ГПА№3, восстановление режима работы МГ.</t>
        </is>
      </c>
      <c r="H19" s="15" t="inlineStr">
        <is>
          <t>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  <c r="I19" s="15" t="inlineStr">
        <is>
          <t>ГПА №1 выведен в «резерв».
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</row>
    <row r="20" ht="95" customHeight="1">
      <c r="A20" s="13" t="inlineStr">
        <is>
          <t>№4 от 30.03.2018</t>
        </is>
      </c>
      <c r="B20" s="14" t="inlineStr">
        <is>
          <t>30.03.2018</t>
        </is>
      </c>
      <c r="C20" s="14" t="inlineStr">
        <is>
          <t>13:39</t>
        </is>
      </c>
      <c r="D20" s="14" t="inlineStr">
        <is>
          <t>ГПА №1, ГПА №2</t>
        </is>
      </c>
      <c r="E20" s="14" t="inlineStr">
        <is>
          <t>Автоматический</t>
        </is>
      </c>
      <c r="F20" s="14" t="inlineStr">
        <is>
          <t>Техническая неисправность (вспомогательные системы)</t>
        </is>
      </c>
      <c r="G20" s="15" t="inlineStr">
        <is>
          <t>Самопроизвольное отключение вводного автомата шкафа управления АВО антифриза привело к останову всех вентиляторов охлаждения. В результате температура антифриза выросла с 94°C до 106°C, что вызвало автоматический останов ГПА№1, затем ГПА№2. Пуск резервного ГПЭС№2, пуск ГПА№2,3, восстановление режима работы МГ.</t>
        </is>
      </c>
      <c r="H20" s="15" t="inlineStr">
        <is>
          <t>Произведена замена вводного автомата шкафа управления АВО антифриза на ГПА№1.</t>
        </is>
      </c>
      <c r="I20" s="15" t="inlineStr">
        <is>
          <t>ГПА №1 выведен в «резерв».
Произведена замена вводного автомата шкафа управления АВО антифриза на ГПА№1.</t>
        </is>
      </c>
    </row>
    <row r="21" ht="95" customHeight="1">
      <c r="A21" s="13" t="inlineStr">
        <is>
          <t>№6 от 24.05.2018</t>
        </is>
      </c>
      <c r="B21" s="14" t="inlineStr">
        <is>
          <t>24.05.2018</t>
        </is>
      </c>
      <c r="C21" s="14" t="inlineStr">
        <is>
          <t>11:48</t>
        </is>
      </c>
      <c r="D21" s="14" t="inlineStr">
        <is>
          <t>ГПА №3</t>
        </is>
      </c>
      <c r="E21" s="14" t="inlineStr">
        <is>
          <t>Вынужденный нормальный</t>
        </is>
      </c>
      <c r="F21" s="14" t="inlineStr">
        <is>
          <t>Ложное срабатывание КИП</t>
        </is>
      </c>
      <c r="G21" s="15" t="inlineStr">
        <is>
          <t>Некорректное отображение обратной связи о рабочем положении клапана FCV-780 (Hot bypass), что привело к вынужденному нормальному останову ГПА№3. Пуск резервного ГПА№2, восстановление режима работы МГ.</t>
        </is>
      </c>
      <c r="H21" s="15" t="inlineStr">
        <is>
          <t>Произведена протяжка креплений и механизма концевого выключателя датчика рабочего положения клапана FCV-780 (Hot bypass).</t>
        </is>
      </c>
      <c r="I21" s="15" t="inlineStr">
        <is>
          <t>ГПА №3 выведен в «резерв».
Произведена протяжка креплений и механизма концевого выключателя датчика рабочего положения клапана FCV-780 (Hot bypass).</t>
        </is>
      </c>
    </row>
    <row r="22" ht="95" customHeight="1">
      <c r="A22" s="13" t="inlineStr">
        <is>
          <t>№7 от 28.05.2018</t>
        </is>
      </c>
      <c r="B22" s="14" t="inlineStr">
        <is>
          <t>28.05.2018</t>
        </is>
      </c>
      <c r="C22" s="14" t="inlineStr">
        <is>
          <t>02:20</t>
        </is>
      </c>
      <c r="D22" s="14" t="inlineStr">
        <is>
          <t>ГПА №2</t>
        </is>
      </c>
      <c r="E22" s="14" t="inlineStr">
        <is>
          <t>Вынужденный нормальный</t>
        </is>
      </c>
      <c r="F22" s="14" t="inlineStr">
        <is>
          <t>Отказ оборудования КИПиА</t>
        </is>
      </c>
      <c r="G22" s="15" t="inlineStr">
        <is>
          <t>Отказ датчика температуры (со стороны активного подпятника) TE 403-1, что привело к вынужденному нормальному останову ГПА№2. Пуск резервного ГПА№1, восстановление режима работы МГ.</t>
        </is>
      </c>
      <c r="H22" s="15" t="inlineStr">
        <is>
          <t>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  <c r="I22" s="15" t="inlineStr">
        <is>
          <t>ГПА №2 выведен в «резерв».
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</row>
    <row r="23" ht="95" customHeight="1">
      <c r="A23" s="13" t="inlineStr">
        <is>
          <t>№1 от 03.02.2018</t>
        </is>
      </c>
      <c r="B23" s="14" t="inlineStr">
        <is>
          <t>03.02.2018</t>
        </is>
      </c>
      <c r="C23" s="14" t="inlineStr">
        <is>
          <t>03:40</t>
        </is>
      </c>
      <c r="D23" s="14" t="inlineStr">
        <is>
          <t>ГПА №2</t>
        </is>
      </c>
      <c r="E23" s="14" t="inlineStr">
        <is>
          <t>Вынужденный нормальный</t>
        </is>
      </c>
      <c r="F23" s="14" t="inlineStr">
        <is>
          <t>Отказ оборудования КИПиА</t>
        </is>
      </c>
      <c r="G23" s="15" t="inlineStr">
        <is>
          <t>Отказ датчика температуры (со стороны активного подпятника) TE 401-1, что привело к вынужденному нормальному останову ГПА№2. Пуск резервного ГПА№1, восстановление режима работы МГ.</t>
        </is>
      </c>
      <c r="H23" s="15" t="inlineStr">
        <is>
          <t>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  <c r="I23" s="15" t="inlineStr">
        <is>
          <t>ГПА №2 выведен в «резерв».
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</row>
    <row r="24" ht="95" customHeight="1">
      <c r="A24" s="13" t="inlineStr">
        <is>
          <t>№2 от 21.02.2018</t>
        </is>
      </c>
      <c r="B24" s="14" t="inlineStr">
        <is>
          <t>21.02.2018</t>
        </is>
      </c>
      <c r="C24" s="14" t="inlineStr">
        <is>
          <t>02:07</t>
        </is>
      </c>
      <c r="D24" s="14" t="inlineStr">
        <is>
          <t>ГПА №1, ГПА №3</t>
        </is>
      </c>
      <c r="E24" s="14" t="inlineStr">
        <is>
          <t>Автоматический</t>
        </is>
      </c>
      <c r="F24" s="14" t="inlineStr">
        <is>
          <t>Техническая неисправность (вспомогательные системы)</t>
        </is>
      </c>
      <c r="G24" s="15" t="inlineStr">
        <is>
          <t>Отказ датчика температуры охлаждающей жидкости ГПЭС№3 привёл к автоматическому останову ГПЭС№3 и последующему автоматическому останову ГПА№1,3. Пуск резервного ГПЭС№1, пуск ГПА№1,3, режим работы МГ восстановлен.</t>
        </is>
      </c>
      <c r="H24" s="15" t="inlineStr">
        <is>
          <t>Произведена замена датчика температуры охлаждающей жидкости на ГПЭС№3.</t>
        </is>
      </c>
      <c r="I24" s="15" t="inlineStr">
        <is>
          <t>ГПЭС №3 выведен в «резерв».
Произведена замена датчика температуры охлаждающей жидкости на ГПЭС№3.</t>
        </is>
      </c>
    </row>
    <row r="25" ht="95" customHeight="1">
      <c r="A25" s="13" t="inlineStr">
        <is>
          <t>№5 от 30.03.2018</t>
        </is>
      </c>
      <c r="B25" s="14" t="inlineStr">
        <is>
          <t>30.03.2018</t>
        </is>
      </c>
      <c r="C25" s="14" t="inlineStr">
        <is>
          <t>14:32</t>
        </is>
      </c>
      <c r="D25" s="14" t="inlineStr">
        <is>
          <t>ГПА №1</t>
        </is>
      </c>
      <c r="E25" s="14" t="inlineStr">
        <is>
          <t>Вынужденный нормальный</t>
        </is>
      </c>
      <c r="F25" s="14" t="inlineStr">
        <is>
          <t>Ложное срабатывание КИП</t>
        </is>
      </c>
      <c r="G25" s="15" t="inlineStr">
        <is>
          <t>Высокие показания датчика вибрации газогенератора VT-457 (225 мм/с) при выходе ГПА№1 в режим холостого хода (обороты ГГ 6800 об/мин) привели к вынужденному нормальному останову. Пуск резервного ГПА№2, восстановление режима работы МГ.</t>
        </is>
      </c>
      <c r="H25" s="15" t="inlineStr">
        <is>
          <t>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  <c r="I25" s="15" t="inlineStr">
        <is>
          <t>ГПА №1 выведен в «резерв».
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</row>
    <row r="26" ht="95" customHeight="1">
      <c r="A26" s="13" t="inlineStr">
        <is>
          <t>№8 от 25.06.2018</t>
        </is>
      </c>
      <c r="B26" s="14" t="inlineStr">
        <is>
          <t>25.06.2018</t>
        </is>
      </c>
      <c r="C26" s="14" t="inlineStr">
        <is>
          <t>09:40</t>
        </is>
      </c>
      <c r="D26" s="14" t="inlineStr">
        <is>
          <t>ГПА №1, ГПА №3</t>
        </is>
      </c>
      <c r="E26" s="14" t="inlineStr">
        <is>
          <t>Автоматический</t>
        </is>
      </c>
      <c r="F26" s="14" t="inlineStr">
        <is>
          <t>Отказ оборудования КИПиА</t>
        </is>
      </c>
      <c r="G26" s="15" t="inlineStr">
        <is>
          <t>Отказ микропроцессора вводного автомата К51-PR122/P ГПЭС№3, что привело к автоматическому останову ГПЭС№3 и последующему автоматическому останову ГПА№1,3. Пуск резервного ГПЭС№1,2, пуск ГПА№1,2, восстановление режима работы МГ.</t>
        </is>
      </c>
      <c r="H26" s="15" t="inlineStr">
        <is>
          <t>Произведена замена микропроцессора вводного автомата К51-PR122/P ГПЭС№3.</t>
        </is>
      </c>
      <c r="I26" s="15" t="inlineStr">
        <is>
          <t>ГПЭС №3 выведен в «резерв».
Произведена замена микропроцессора вводного автомата К51-PR122/P ГПЭС№3.</t>
        </is>
      </c>
    </row>
    <row r="27" ht="95" customHeight="1">
      <c r="A27" s="13" t="inlineStr">
        <is>
          <t>№9 от 26.06.2018</t>
        </is>
      </c>
      <c r="B27" s="14" t="inlineStr">
        <is>
          <t>26.06.2018</t>
        </is>
      </c>
      <c r="C27" s="14" t="inlineStr">
        <is>
          <t>03:04</t>
        </is>
      </c>
      <c r="D27" s="14" t="inlineStr">
        <is>
          <t>ГПА №1, ГПА №2</t>
        </is>
      </c>
      <c r="E27" s="14" t="inlineStr">
        <is>
          <t>Автоматический</t>
        </is>
      </c>
      <c r="F27" s="14" t="inlineStr">
        <is>
          <t>Электросеть / переключение агрегатов</t>
        </is>
      </c>
      <c r="G27" s="15" t="inlineStr">
        <is>
          <t>Ослабление контакта предохранителя CDVR ГПЭС№1 привело к автоматическому останову ГПЭС№1 и последующему автоматическому останову ГПА№1,2. Пуск резервного ГПЭС№2,3, пуск ГПА№1,3, восстановление режима работы МГ.</t>
        </is>
      </c>
      <c r="H27" s="15" t="inlineStr">
        <is>
          <t>Произведена замена предохранительной колодки ГПЭС№1.</t>
        </is>
      </c>
      <c r="I27" s="15" t="inlineStr">
        <is>
          <t>ГПЭС №1 выведен в «резерв».
Произведена замена предохранительной колодки ГПЭС№1.</t>
        </is>
      </c>
    </row>
    <row r="28" ht="95" customHeight="1">
      <c r="A28" s="13" t="inlineStr">
        <is>
          <t>№1 от 31.03.2019</t>
        </is>
      </c>
      <c r="B28" s="14" t="inlineStr">
        <is>
          <t>31.03.2019</t>
        </is>
      </c>
      <c r="C28" s="14" t="inlineStr">
        <is>
          <t>10:13</t>
        </is>
      </c>
      <c r="D28" s="14" t="inlineStr">
        <is>
          <t>ГПА №3</t>
        </is>
      </c>
      <c r="E28" s="14" t="inlineStr">
        <is>
          <t>Вынужденный нормальный</t>
        </is>
      </c>
      <c r="F28" s="14" t="inlineStr">
        <is>
          <t>Отказ оборудования КИПиА</t>
        </is>
      </c>
      <c r="G28" s="15" t="inlineStr">
        <is>
          <t>Кратковременная потеря показаний рабочих параметров ГПА№3, поступающих от модуля ввода/вывода MTL8000 UCP-1, что привело к срабатыванию защиты и переводу ГПА№3 в безопасный режим холостого хода (6800 об/мин). Пуск резервного ГПА№2, восстановление режима работы МГ.</t>
        </is>
      </c>
      <c r="H28" s="15" t="inlineStr">
        <is>
          <t>Выполнена переборка узла крепления несущих плат блока модулей ввода/вывода MTL8000 UCP-1 ГПА№3.
Повреждено: Отсутствует</t>
        </is>
      </c>
      <c r="I28" s="15" t="inlineStr">
        <is>
          <t>ГПА №3 выведен в «резерв».
Выполнена переборка узла крепления несущих плат блока модулей ввода/вывода MTL8000 UCP-1 ГПА№3.</t>
        </is>
      </c>
    </row>
    <row r="29" ht="95" customHeight="1">
      <c r="A29" s="13" t="inlineStr">
        <is>
          <t>№2 от 13.04.2019</t>
        </is>
      </c>
      <c r="B29" s="14" t="inlineStr">
        <is>
          <t>13.04.2019</t>
        </is>
      </c>
      <c r="C29" s="14" t="inlineStr">
        <is>
          <t>05:50</t>
        </is>
      </c>
      <c r="D29" s="14" t="inlineStr">
        <is>
          <t>ГПА №1, ГПА №2, ГПА №3</t>
        </is>
      </c>
      <c r="E29" s="14" t="inlineStr">
        <is>
          <t>Автоматический</t>
        </is>
      </c>
      <c r="F29" s="14" t="inlineStr">
        <is>
          <t>Электросеть / переключение агрегатов</t>
        </is>
      </c>
      <c r="G29" s="15" t="inlineStr">
        <is>
          <t>В 05:50 обнаружен хлопок и отключение шкафа ИБП№1 (ошибка «ABUS communication failure»). Работа ИБП№2 в режиме «байпас» привела к скачкам напряжения и срабатыванию пассивной защиты станции, что вызвало отключение шкафов сигнализации ПиГ, коммуникационного оборудования, серверов SCADA и GE, шкафа управления ИБП№2, автоматическое срабатывание ESD-III и закрытие кранов ESDV1101, ESDV1201, ESDV1102, ESDV1202. По распоряжению АКЦ стравлен контур технологического газа ГПА№1,2,3. Согласно дефектному акту №11/19 от 16.04.2019 вышли из строя радиоэлектронные компоненты ИБП№1 (резистор, повлекший выход из строя транзисторов в блоке управления).</t>
        </is>
      </c>
      <c r="H29" s="15" t="inlineStr">
        <is>
          <t>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
Повреждено: Радиоэлектронные компоненты ИБП№1 (резистор, транзисторы в блоке управления) — согласно дефектному акту №11/19 от 16.04.2019</t>
        </is>
      </c>
      <c r="I29" s="15" t="inlineStr">
        <is>
          <t>ИБП №1 выведен в ремонт.
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</t>
        </is>
      </c>
    </row>
    <row r="30" ht="95" customHeight="1">
      <c r="A30" s="13" t="inlineStr">
        <is>
          <t>№3 от 20.04.2019</t>
        </is>
      </c>
      <c r="B30" s="14" t="inlineStr">
        <is>
          <t>20.04.2019</t>
        </is>
      </c>
      <c r="C30" s="14" t="inlineStr">
        <is>
          <t>17:20</t>
        </is>
      </c>
      <c r="D30" s="14" t="inlineStr">
        <is>
          <t>ГПА №1, ГПА №2</t>
        </is>
      </c>
      <c r="E30" s="14" t="inlineStr">
        <is>
          <t>Автоматический</t>
        </is>
      </c>
      <c r="F30" s="14" t="inlineStr">
        <is>
          <t>Электросеть / переключение агрегатов</t>
        </is>
      </c>
      <c r="G30" s="15" t="inlineStr">
        <is>
          <t>При переключении ГПЭС с №2 на №3 ведущий инженер ЭВС и ЭХЗ ошибочно перевёл тумблер панели рабочего ГПЭС№2 (находившегося в режиме «Ручной») в режим «Авто», что привело к сбросу нагрузки с ГПЭС№2. При повторной синхронизации нагрузка не была полностью передана на ГПЭС№2, что привело к автоматическому останову ГПА№1,2. Дана нагрузка на ГПЭС№2, восстановлена цепь электропитания на МСС. Выполнен пуск ГПА№3, затем ГПА№1.</t>
        </is>
      </c>
      <c r="H30" s="15" t="inlineStr">
        <is>
          <t xml:space="preserve">
Повреждено: Не обнаружено</t>
        </is>
      </c>
      <c r="I30" s="15" t="inlineStr">
        <is>
          <t xml:space="preserve">ГПЭС №2 выведен в режим работы, АДЭС выведен в резерв. ГПА №1 в работе, ГПА №2 в резерве.
</t>
        </is>
      </c>
    </row>
    <row r="31" ht="95" customHeight="1">
      <c r="A31" s="13" t="inlineStr">
        <is>
          <t>№4 от 08.05.2019</t>
        </is>
      </c>
      <c r="B31" s="14" t="inlineStr">
        <is>
          <t>08.05.2019</t>
        </is>
      </c>
      <c r="C31" s="14" t="inlineStr">
        <is>
          <t>05:01</t>
        </is>
      </c>
      <c r="D31" s="14" t="inlineStr">
        <is>
          <t>ГПА №3</t>
        </is>
      </c>
      <c r="E31" s="14" t="inlineStr">
        <is>
          <t>Автоматический</t>
        </is>
      </c>
      <c r="F31" s="14" t="inlineStr">
        <is>
          <t>Отказ оборудования КИПиА</t>
        </is>
      </c>
      <c r="G31" s="15" t="inlineStr">
        <is>
          <t>Потеря связи между Mark VIe и контроллером системы пожаротушения HIMatrix F35 01030 вызвала сигнал «HIMA FIRE FIGHTING CPUA UCP2 – HEARTBEAT FAILURE ALARM», что привело к автоматическому останову ГПА№3 со стравливанием контура. Пуск резервного ГПА№2, восстановление режима работы МГ.</t>
        </is>
      </c>
      <c r="H31" s="15" t="inlineStr">
        <is>
          <t>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  <c r="I31" s="15" t="inlineStr">
        <is>
          <t>ГПА №3 выведен в «резерв».
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</row>
    <row r="32" ht="95" customHeight="1">
      <c r="A32" s="13" t="inlineStr">
        <is>
          <t>№5 от 18.06.2019</t>
        </is>
      </c>
      <c r="B32" s="14" t="inlineStr">
        <is>
          <t>18.06.2019</t>
        </is>
      </c>
      <c r="C32" s="14" t="inlineStr">
        <is>
          <t>20:10</t>
        </is>
      </c>
      <c r="D32" s="14" t="inlineStr">
        <is>
          <t>ГПА №1, ГПА №3</t>
        </is>
      </c>
      <c r="E32" s="14" t="inlineStr">
        <is>
          <t>Вынужденный нормальный</t>
        </is>
      </c>
      <c r="F32" s="14" t="inlineStr">
        <is>
          <t>Электросеть / переключение агрегатов</t>
        </is>
      </c>
      <c r="G32" s="15" t="inlineStr">
        <is>
          <t>При проведении работ на ИБП№1 после его перезагрузки произошёл хлопок и отключение, отключились автоматы ИБП№1. При проверке контроллера ИБП№1 отключился инвертор ИБП№2, статический байпас не сработал, отключились серверы SCADA и HMI GE, что привело к потере управления работающими ГПА№1,3, вследствие чего произведён их вынужденный останов кнопками ESD I. Выявлен выход из строя предохранителей ИБП№1 (10 шт. по 5 шт. на модуль) вследствие короткого замыкания, а также 2 силовых модулей SUVT/PXP 400V и платы управления ИБП№1.</t>
        </is>
      </c>
      <c r="H32" s="15" t="inlineStr">
        <is>
          <t>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
Повреждено: Предохранители ИБП№1 (10 шт. по 5 шт. на модуль), 2 силовых модуля типа SUVT/PXP 400V (P/N: 0640-4928F Rev.08), плата управления P/N: 640-2552 Rev.01 ИБП№1</t>
        </is>
      </c>
      <c r="I32" s="15" t="inlineStr">
        <is>
          <t>ИБП №1 выведен в ремонт, ИБП №2 в работе.
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</t>
        </is>
      </c>
    </row>
    <row r="33" ht="95" customHeight="1">
      <c r="A33" s="13" t="inlineStr">
        <is>
          <t>№6 от 21.07.2019</t>
        </is>
      </c>
      <c r="B33" s="14" t="inlineStr">
        <is>
          <t>21.07.2019</t>
        </is>
      </c>
      <c r="C33" s="14" t="inlineStr">
        <is>
          <t>10:24</t>
        </is>
      </c>
      <c r="D33" s="14" t="inlineStr">
        <is>
          <t>ГПА №2, ГПА №3</t>
        </is>
      </c>
      <c r="E33" s="14" t="inlineStr">
        <is>
          <t>Автоматический</t>
        </is>
      </c>
      <c r="F33" s="14" t="inlineStr">
        <is>
          <t>Электросеть / переключение агрегатов</t>
        </is>
      </c>
      <c r="G33" s="15" t="inlineStr">
        <is>
          <t>Снижение перепада давления внутри кожуха газогенератора после потери напряжения от вводного автомата 15GDG-002 на ЗРУ 0,4 кВ. Сработала защита по току и отключила автоматический выключатель 15GDG-002 вследствие короткого замыкания силовой сети внутри кожуха, вызванного повреждением изоляции кабеля самодельного нагрузочного модуля НУ-640. АДЭС автоматически не запустился, так как ГПЭС№2 оставался в рабочем состоянии, что привело к автоматическому останову ГПА№2,3.</t>
        </is>
      </c>
      <c r="H33" s="15" t="inlineStr">
        <is>
          <t>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  <c r="I33" s="15" t="inlineStr">
        <is>
          <t>ГПЭС №2 выведен в режим «резерв».
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</cols>
  <sheetData>
    <row r="1" ht="26" customHeight="1">
      <c r="A1" s="8" t="inlineStr">
        <is>
          <t>КЛАССИФИКАЦИЯ ПРИЧИН ОТКАЗОВ (авторасчёт)</t>
        </is>
      </c>
    </row>
    <row r="3">
      <c r="A3" s="2" t="inlineStr">
        <is>
          <t>Категория причины</t>
        </is>
      </c>
      <c r="B3" s="2" t="inlineStr">
        <is>
          <t>Кол-во инцидентов</t>
        </is>
      </c>
      <c r="C3" s="2" t="inlineStr">
        <is>
          <t>Доля, %</t>
        </is>
      </c>
    </row>
    <row r="4">
      <c r="A4" s="3" t="inlineStr">
        <is>
          <t>Внешняя/неподтвержденная причина</t>
        </is>
      </c>
      <c r="B4" s="3">
        <f>COUNTIF('Инциденты_детально'!$F$4:$F$33,A4)</f>
        <v/>
      </c>
      <c r="C4" s="16">
        <f>B4/30</f>
        <v/>
      </c>
    </row>
    <row r="5">
      <c r="A5" s="3" t="inlineStr">
        <is>
          <t>Ложное срабатывание КИП</t>
        </is>
      </c>
      <c r="B5" s="3">
        <f>COUNTIF('Инциденты_детально'!$F$4:$F$33,A5)</f>
        <v/>
      </c>
      <c r="C5" s="16">
        <f>B5/30</f>
        <v/>
      </c>
    </row>
    <row r="6">
      <c r="A6" s="3" t="inlineStr">
        <is>
          <t>Ложное срабатывание КИП / связь</t>
        </is>
      </c>
      <c r="B6" s="3">
        <f>COUNTIF('Инциденты_детально'!$F$4:$F$33,A6)</f>
        <v/>
      </c>
      <c r="C6" s="16">
        <f>B6/30</f>
        <v/>
      </c>
    </row>
    <row r="7">
      <c r="A7" s="3" t="inlineStr">
        <is>
          <t>Настройка/калибровка камеры сгорания (DLE)</t>
        </is>
      </c>
      <c r="B7" s="3">
        <f>COUNTIF('Инциденты_детально'!$F$4:$F$33,A7)</f>
        <v/>
      </c>
      <c r="C7" s="16">
        <f>B7/30</f>
        <v/>
      </c>
    </row>
    <row r="8">
      <c r="A8" s="3" t="inlineStr">
        <is>
          <t>Отказ оборудования КИПиА</t>
        </is>
      </c>
      <c r="B8" s="3">
        <f>COUNTIF('Инциденты_детально'!$F$4:$F$33,A8)</f>
        <v/>
      </c>
      <c r="C8" s="16">
        <f>B8/30</f>
        <v/>
      </c>
    </row>
    <row r="9">
      <c r="A9" s="3" t="inlineStr">
        <is>
          <t>Техническая неисправность (вспомогательные системы)</t>
        </is>
      </c>
      <c r="B9" s="3">
        <f>COUNTIF('Инциденты_детально'!$F$4:$F$33,A9)</f>
        <v/>
      </c>
      <c r="C9" s="16">
        <f>B9/30</f>
        <v/>
      </c>
    </row>
    <row r="10">
      <c r="A10" s="3" t="inlineStr">
        <is>
          <t>Техническая неисправность оборудования</t>
        </is>
      </c>
      <c r="B10" s="3">
        <f>COUNTIF('Инциденты_детально'!$F$4:$F$33,A10)</f>
        <v/>
      </c>
      <c r="C10" s="16">
        <f>B10/30</f>
        <v/>
      </c>
    </row>
    <row r="11">
      <c r="A11" s="3" t="inlineStr">
        <is>
          <t>Человеческий фактор</t>
        </is>
      </c>
      <c r="B11" s="3">
        <f>COUNTIF('Инциденты_детально'!$F$4:$F$33,A11)</f>
        <v/>
      </c>
      <c r="C11" s="16">
        <f>B11/30</f>
        <v/>
      </c>
    </row>
    <row r="12">
      <c r="A12" s="3" t="inlineStr">
        <is>
          <t>Электросеть / переключение агрегатов</t>
        </is>
      </c>
      <c r="B12" s="3">
        <f>COUNTIF('Инциденты_детально'!$F$4:$F$33,A12)</f>
        <v/>
      </c>
      <c r="C12" s="16">
        <f>B12/30</f>
        <v/>
      </c>
    </row>
    <row r="13">
      <c r="A13" s="3" t="inlineStr">
        <is>
          <t>Электросеть / синхронизация агрегатов</t>
        </is>
      </c>
      <c r="B13" s="3">
        <f>COUNTIF('Инциденты_детально'!$F$4:$F$33,A13)</f>
        <v/>
      </c>
      <c r="C13" s="16">
        <f>B13/30</f>
        <v/>
      </c>
    </row>
    <row r="14">
      <c r="A14" s="17" t="inlineStr">
        <is>
          <t>ИТОГО инцидентов</t>
        </is>
      </c>
      <c r="B14" s="17">
        <f>SUM(B4:B13)</f>
        <v/>
      </c>
      <c r="C14" s="18">
        <f>SUM(C4:C13)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8" customWidth="1" min="4" max="4"/>
    <col width="38" customWidth="1" min="5" max="5"/>
    <col width="20" customWidth="1" min="6" max="6"/>
    <col width="13" customWidth="1" min="7" max="7"/>
    <col width="12" customWidth="1" min="8" max="8"/>
    <col width="16" customWidth="1" min="9" max="9"/>
    <col width="16" customWidth="1" min="10" max="10"/>
  </cols>
  <sheetData>
    <row r="1" ht="26" customHeight="1">
      <c r="A1" s="8" t="inlineStr">
        <is>
          <t>РЕЕСТР РАБОТ ПО УСТРАНЕНИЮ ДЕФЕКТОВ</t>
        </is>
      </c>
    </row>
    <row r="3">
      <c r="A3" s="12" t="inlineStr">
        <is>
          <t>Привязка к аварии (акт/дата)</t>
        </is>
      </c>
      <c r="B3" s="12" t="inlineStr">
        <is>
          <t>ГПА</t>
        </is>
      </c>
      <c r="C3" s="12" t="inlineStr">
        <is>
          <t>№ дефектного акта</t>
        </is>
      </c>
      <c r="D3" s="12" t="inlineStr">
        <is>
          <t>Описание дефекта</t>
        </is>
      </c>
      <c r="E3" s="12" t="inlineStr">
        <is>
          <t>Описание выполненных работ</t>
        </is>
      </c>
      <c r="F3" s="12" t="inlineStr">
        <is>
          <t>№ акта вып. работ</t>
        </is>
      </c>
      <c r="G3" s="12" t="inlineStr">
        <is>
          <t>Дата выполнения</t>
        </is>
      </c>
      <c r="H3" s="12" t="inlineStr">
        <is>
          <t>Статус</t>
        </is>
      </c>
      <c r="I3" s="12" t="inlineStr">
        <is>
          <t>Дефектный акт</t>
        </is>
      </c>
      <c r="J3" s="12" t="inlineStr">
        <is>
          <t>Акт вып. работ</t>
        </is>
      </c>
    </row>
    <row r="4" ht="55" customHeight="1">
      <c r="A4" s="14" t="inlineStr">
        <is>
          <t>№2 от 14.04.2023</t>
        </is>
      </c>
      <c r="B4" s="14" t="inlineStr">
        <is>
          <t>ГПА №2</t>
        </is>
      </c>
      <c r="C4" s="13" t="inlineStr"/>
      <c r="D4" s="15" t="inlineStr"/>
      <c r="E4" s="15" t="inlineStr">
        <is>
          <t>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</t>
        </is>
      </c>
      <c r="F4" s="13" t="inlineStr">
        <is>
          <t>Акт выполненных работ от 23.05.2026</t>
        </is>
      </c>
      <c r="G4" s="14" t="inlineStr">
        <is>
          <t>23.05.2026</t>
        </is>
      </c>
      <c r="H4" s="19" t="inlineStr">
        <is>
          <t>выполнено</t>
        </is>
      </c>
      <c r="I4" s="20" t="n"/>
      <c r="J4" s="21" t="inlineStr">
        <is>
          <t>Открыть акт вып. работ</t>
        </is>
      </c>
    </row>
    <row r="5" ht="55" customHeight="1">
      <c r="A5" s="14" t="inlineStr">
        <is>
          <t>№4 от 01.06.2023</t>
        </is>
      </c>
      <c r="B5" s="14" t="inlineStr">
        <is>
          <t>ГПА №2</t>
        </is>
      </c>
      <c r="C5" s="13" t="inlineStr"/>
      <c r="D5" s="15" t="inlineStr"/>
      <c r="E5" s="15" t="inlineStr">
        <is>
          <t>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</t>
        </is>
      </c>
      <c r="F5" s="13" t="inlineStr">
        <is>
          <t>Акт выполненных работ от 04.06.2023</t>
        </is>
      </c>
      <c r="G5" s="14" t="inlineStr">
        <is>
          <t>04.06.2023</t>
        </is>
      </c>
      <c r="H5" s="19" t="inlineStr">
        <is>
          <t>выполнено</t>
        </is>
      </c>
      <c r="I5" s="20" t="n"/>
      <c r="J5" s="21" t="inlineStr">
        <is>
          <t>Открыть акт вып. работ</t>
        </is>
      </c>
    </row>
    <row r="6" ht="55" customHeight="1">
      <c r="A6" s="14" t="inlineStr">
        <is>
          <t>— (плановая инспекция) от 11.12.2021</t>
        </is>
      </c>
      <c r="B6" s="14" t="inlineStr">
        <is>
          <t>ГПА №1</t>
        </is>
      </c>
      <c r="C6" s="13" t="inlineStr">
        <is>
          <t>№62/21</t>
        </is>
      </c>
      <c r="D6" s="15" t="inlineStr">
        <is>
          <t>Утечка синтетического масла с фланцевого соединения откачивающей линии подшипника газогенератора и с гибкого шланга сепаратора синтетического масла.</t>
        </is>
      </c>
      <c r="E6" s="15" t="inlineStr">
        <is>
          <t>Замена прокладки 9627M01P02 GE — 1 шт.; замена гибкого шланга сепаратора RTR33432 — 1 шт.; проверка давления азота в гидроцилиндре RAO01587.
Расходные материалы: Прокладка фланцевого соединения откачивающей линии подшипника газогенератора (9627M01P02 GE) — 1 шт.; Гибкий шланг сепаратора синтетического масла (RTR33432) — 1 шт.</t>
        </is>
      </c>
      <c r="F6" s="13" t="inlineStr">
        <is>
          <t>Акт выполненных работ от 11.12.2021</t>
        </is>
      </c>
      <c r="G6" s="14" t="inlineStr">
        <is>
          <t>11.12.2021</t>
        </is>
      </c>
      <c r="H6" s="19" t="inlineStr">
        <is>
          <t>выполнено</t>
        </is>
      </c>
      <c r="I6" s="21" t="inlineStr">
        <is>
          <t>Открыть дефектный акт</t>
        </is>
      </c>
      <c r="J6" s="21" t="inlineStr">
        <is>
          <t>Открыть акт вып. работ</t>
        </is>
      </c>
    </row>
  </sheetData>
  <mergeCells count="1">
    <mergeCell ref="A1:J1"/>
  </mergeCell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55" customWidth="1" min="3" max="3"/>
    <col width="14" customWidth="1" min="4" max="4"/>
  </cols>
  <sheetData>
    <row r="1" ht="26" customHeight="1">
      <c r="A1" s="8" t="inlineStr">
        <is>
          <t>ЖУРНАЛ ИСТОЧНИКОВ ДАННЫХ</t>
        </is>
      </c>
    </row>
    <row r="3">
      <c r="A3" s="2" t="inlineStr">
        <is>
          <t>№</t>
        </is>
      </c>
      <c r="B3" s="2" t="inlineStr">
        <is>
          <t>Акт</t>
        </is>
      </c>
      <c r="C3" s="2" t="inlineStr">
        <is>
          <t>Файл</t>
        </is>
      </c>
      <c r="D3" s="2" t="inlineStr">
        <is>
          <t>Дата акта</t>
        </is>
      </c>
    </row>
    <row r="4">
      <c r="A4" s="14" t="n">
        <v>1</v>
      </c>
      <c r="B4" s="14" t="inlineStr">
        <is>
          <t>№1</t>
        </is>
      </c>
      <c r="C4" s="14" t="inlineStr">
        <is>
          <t>act01_investigation.pdf</t>
        </is>
      </c>
      <c r="D4" s="14" t="inlineStr">
        <is>
          <t>10.06.2020</t>
        </is>
      </c>
    </row>
    <row r="5">
      <c r="A5" s="14" t="n">
        <v>2</v>
      </c>
      <c r="B5" s="14" t="inlineStr">
        <is>
          <t>№1</t>
        </is>
      </c>
      <c r="C5" s="14" t="inlineStr">
        <is>
          <t>act02_investigation.pdf</t>
        </is>
      </c>
      <c r="D5" s="14" t="inlineStr">
        <is>
          <t>01.02.2022</t>
        </is>
      </c>
    </row>
    <row r="6">
      <c r="A6" s="14" t="n">
        <v>3</v>
      </c>
      <c r="B6" s="14" t="inlineStr">
        <is>
          <t>№2</t>
        </is>
      </c>
      <c r="C6" s="14" t="inlineStr">
        <is>
          <t>act03_investigation.pdf</t>
        </is>
      </c>
      <c r="D6" s="14" t="inlineStr">
        <is>
          <t>11.03.2022</t>
        </is>
      </c>
    </row>
    <row r="7">
      <c r="A7" s="14" t="n">
        <v>4</v>
      </c>
      <c r="B7" s="14" t="inlineStr">
        <is>
          <t>№3</t>
        </is>
      </c>
      <c r="C7" s="14" t="inlineStr">
        <is>
          <t>act04_investigation.pdf</t>
        </is>
      </c>
      <c r="D7" s="14" t="inlineStr">
        <is>
          <t>25.04.2022</t>
        </is>
      </c>
    </row>
    <row r="8">
      <c r="A8" s="14" t="n">
        <v>5</v>
      </c>
      <c r="B8" s="14" t="inlineStr">
        <is>
          <t>№5</t>
        </is>
      </c>
      <c r="C8" s="14" t="inlineStr">
        <is>
          <t>act05_investigation.pdf</t>
        </is>
      </c>
      <c r="D8" s="14" t="inlineStr">
        <is>
          <t>07.06.2022</t>
        </is>
      </c>
    </row>
    <row r="9">
      <c r="A9" s="14" t="n">
        <v>6</v>
      </c>
      <c r="B9" s="14" t="inlineStr">
        <is>
          <t>№1</t>
        </is>
      </c>
      <c r="C9" s="14" t="inlineStr">
        <is>
          <t>act06_investigation.pdf</t>
        </is>
      </c>
      <c r="D9" s="14" t="inlineStr">
        <is>
          <t>11.03.2023</t>
        </is>
      </c>
    </row>
    <row r="10">
      <c r="A10" s="14" t="n">
        <v>7</v>
      </c>
      <c r="B10" s="14" t="inlineStr">
        <is>
          <t>№2</t>
        </is>
      </c>
      <c r="C10" s="14" t="inlineStr">
        <is>
          <t>act07_investigation.pdf</t>
        </is>
      </c>
      <c r="D10" s="14" t="inlineStr">
        <is>
          <t>14.04.2023</t>
        </is>
      </c>
    </row>
    <row r="11">
      <c r="A11" s="14" t="n">
        <v>8</v>
      </c>
      <c r="B11" s="14" t="inlineStr">
        <is>
          <t>№5</t>
        </is>
      </c>
      <c r="C11" s="14" t="inlineStr">
        <is>
          <t>act08_investigation.pdf</t>
        </is>
      </c>
      <c r="D11" s="14" t="inlineStr">
        <is>
          <t>06.06.2023</t>
        </is>
      </c>
    </row>
    <row r="12">
      <c r="A12" s="14" t="n">
        <v>9</v>
      </c>
      <c r="B12" s="14" t="inlineStr">
        <is>
          <t>№1</t>
        </is>
      </c>
      <c r="C12" s="14" t="inlineStr">
        <is>
          <t>act09_investigation.pdf</t>
        </is>
      </c>
      <c r="D12" s="14" t="inlineStr">
        <is>
          <t>04.03.2024</t>
        </is>
      </c>
    </row>
    <row r="13">
      <c r="A13" s="14" t="n">
        <v>10</v>
      </c>
      <c r="B13" s="14" t="inlineStr">
        <is>
          <t>№2</t>
        </is>
      </c>
      <c r="C13" s="14" t="inlineStr">
        <is>
          <t>act10_investigation.pdf</t>
        </is>
      </c>
      <c r="D13" s="14" t="inlineStr">
        <is>
          <t>11.03.2024</t>
        </is>
      </c>
    </row>
    <row r="14">
      <c r="A14" s="14" t="n">
        <v>11</v>
      </c>
      <c r="B14" s="14" t="inlineStr">
        <is>
          <t>№3</t>
        </is>
      </c>
      <c r="C14" s="14" t="inlineStr">
        <is>
          <t>act11_investigation.pdf</t>
        </is>
      </c>
      <c r="D14" s="14" t="inlineStr">
        <is>
          <t>10.05.2024</t>
        </is>
      </c>
    </row>
    <row r="15">
      <c r="A15" s="14" t="n">
        <v>12</v>
      </c>
      <c r="B15" s="14" t="inlineStr">
        <is>
          <t>№4</t>
        </is>
      </c>
      <c r="C15" s="14" t="inlineStr">
        <is>
          <t>act12_investigation.pdf</t>
        </is>
      </c>
      <c r="D15" s="14" t="inlineStr">
        <is>
          <t>28.12.2024</t>
        </is>
      </c>
    </row>
    <row r="16">
      <c r="A16" s="14" t="n">
        <v>13</v>
      </c>
      <c r="B16" s="14" t="inlineStr">
        <is>
          <t>№1</t>
        </is>
      </c>
      <c r="C16" s="14" t="inlineStr">
        <is>
          <t>act13_investigation.pdf</t>
        </is>
      </c>
      <c r="D16" s="14" t="inlineStr">
        <is>
          <t>02.05.2025</t>
        </is>
      </c>
    </row>
    <row r="17">
      <c r="A17" s="14" t="n">
        <v>14</v>
      </c>
      <c r="B17" s="14" t="inlineStr">
        <is>
          <t>№1</t>
        </is>
      </c>
      <c r="C17" s="14" t="inlineStr">
        <is>
          <t>act14_investigation.pdf</t>
        </is>
      </c>
      <c r="D17" s="14" t="inlineStr">
        <is>
          <t>27.04.2026</t>
        </is>
      </c>
    </row>
    <row r="18">
      <c r="A18" s="14" t="n">
        <v>15</v>
      </c>
      <c r="B18" s="14" t="inlineStr">
        <is>
          <t>№4</t>
        </is>
      </c>
      <c r="C18" s="14" t="inlineStr">
        <is>
          <t>act15_investigation.pdf</t>
        </is>
      </c>
      <c r="D18" s="14" t="inlineStr">
        <is>
          <t>01.06.2023</t>
        </is>
      </c>
    </row>
    <row r="19">
      <c r="A19" s="14" t="n">
        <v>16</v>
      </c>
      <c r="B19" s="14" t="inlineStr">
        <is>
          <t>№3</t>
        </is>
      </c>
      <c r="C19" s="14" t="inlineStr">
        <is>
          <t>act20_investigation.pdf</t>
        </is>
      </c>
      <c r="D19" s="14" t="inlineStr">
        <is>
          <t>07.03.2018</t>
        </is>
      </c>
    </row>
    <row r="20">
      <c r="A20" s="14" t="n">
        <v>17</v>
      </c>
      <c r="B20" s="14" t="inlineStr">
        <is>
          <t>№4</t>
        </is>
      </c>
      <c r="C20" s="14" t="inlineStr">
        <is>
          <t>act23_investigation.pdf</t>
        </is>
      </c>
      <c r="D20" s="14" t="inlineStr">
        <is>
          <t>30.03.2018</t>
        </is>
      </c>
    </row>
    <row r="21">
      <c r="A21" s="14" t="n">
        <v>18</v>
      </c>
      <c r="B21" s="14" t="inlineStr">
        <is>
          <t>№6</t>
        </is>
      </c>
      <c r="C21" s="14" t="inlineStr">
        <is>
          <t>act22_investigation.pdf</t>
        </is>
      </c>
      <c r="D21" s="14" t="inlineStr">
        <is>
          <t>24.05.2018</t>
        </is>
      </c>
    </row>
    <row r="22">
      <c r="A22" s="14" t="n">
        <v>19</v>
      </c>
      <c r="B22" s="14" t="inlineStr">
        <is>
          <t>№7</t>
        </is>
      </c>
      <c r="C22" s="14" t="inlineStr">
        <is>
          <t>act21_investigation.pdf</t>
        </is>
      </c>
      <c r="D22" s="14" t="inlineStr">
        <is>
          <t>28.05.2018</t>
        </is>
      </c>
    </row>
    <row r="23">
      <c r="A23" s="14" t="n">
        <v>20</v>
      </c>
      <c r="B23" s="14" t="inlineStr">
        <is>
          <t>№1</t>
        </is>
      </c>
      <c r="C23" s="14" t="inlineStr">
        <is>
          <t>act24_investigation.pdf</t>
        </is>
      </c>
      <c r="D23" s="14" t="inlineStr">
        <is>
          <t>03.02.2018</t>
        </is>
      </c>
    </row>
    <row r="24">
      <c r="A24" s="14" t="n">
        <v>21</v>
      </c>
      <c r="B24" s="14" t="inlineStr">
        <is>
          <t>№2</t>
        </is>
      </c>
      <c r="C24" s="14" t="inlineStr">
        <is>
          <t>act25_investigation.pdf</t>
        </is>
      </c>
      <c r="D24" s="14" t="inlineStr">
        <is>
          <t>21.02.2018</t>
        </is>
      </c>
    </row>
    <row r="25">
      <c r="A25" s="14" t="n">
        <v>22</v>
      </c>
      <c r="B25" s="14" t="inlineStr">
        <is>
          <t>№5</t>
        </is>
      </c>
      <c r="C25" s="14" t="inlineStr">
        <is>
          <t>act26_investigation.pdf</t>
        </is>
      </c>
      <c r="D25" s="14" t="inlineStr">
        <is>
          <t>30.03.2018</t>
        </is>
      </c>
    </row>
    <row r="26">
      <c r="A26" s="14" t="n">
        <v>23</v>
      </c>
      <c r="B26" s="14" t="inlineStr">
        <is>
          <t>№8</t>
        </is>
      </c>
      <c r="C26" s="14" t="inlineStr">
        <is>
          <t>act27_investigation.pdf</t>
        </is>
      </c>
      <c r="D26" s="14" t="inlineStr">
        <is>
          <t>25.06.2018</t>
        </is>
      </c>
    </row>
    <row r="27">
      <c r="A27" s="14" t="n">
        <v>24</v>
      </c>
      <c r="B27" s="14" t="inlineStr">
        <is>
          <t>№9</t>
        </is>
      </c>
      <c r="C27" s="14" t="inlineStr">
        <is>
          <t>act28_investigation.pdf</t>
        </is>
      </c>
      <c r="D27" s="14" t="inlineStr">
        <is>
          <t>26.06.2018</t>
        </is>
      </c>
    </row>
    <row r="28">
      <c r="A28" s="14" t="n">
        <v>25</v>
      </c>
      <c r="B28" s="14" t="inlineStr">
        <is>
          <t>№1</t>
        </is>
      </c>
      <c r="C28" s="14" t="inlineStr">
        <is>
          <t>act29_investigation.pdf</t>
        </is>
      </c>
      <c r="D28" s="14" t="inlineStr">
        <is>
          <t>31.03.2019</t>
        </is>
      </c>
    </row>
    <row r="29">
      <c r="A29" s="14" t="n">
        <v>26</v>
      </c>
      <c r="B29" s="14" t="inlineStr">
        <is>
          <t>№2</t>
        </is>
      </c>
      <c r="C29" s="14" t="inlineStr">
        <is>
          <t>act30_investigation.pdf</t>
        </is>
      </c>
      <c r="D29" s="14" t="inlineStr">
        <is>
          <t>13.04.2019</t>
        </is>
      </c>
    </row>
    <row r="30">
      <c r="A30" s="14" t="n">
        <v>27</v>
      </c>
      <c r="B30" s="14" t="inlineStr">
        <is>
          <t>№3</t>
        </is>
      </c>
      <c r="C30" s="14" t="inlineStr">
        <is>
          <t>act31_investigation.pdf</t>
        </is>
      </c>
      <c r="D30" s="14" t="inlineStr">
        <is>
          <t>20.04.2019</t>
        </is>
      </c>
    </row>
    <row r="31">
      <c r="A31" s="14" t="n">
        <v>28</v>
      </c>
      <c r="B31" s="14" t="inlineStr">
        <is>
          <t>№4</t>
        </is>
      </c>
      <c r="C31" s="14" t="inlineStr">
        <is>
          <t>act32_investigation.pdf</t>
        </is>
      </c>
      <c r="D31" s="14" t="inlineStr">
        <is>
          <t>08.05.2019</t>
        </is>
      </c>
    </row>
    <row r="32">
      <c r="A32" s="14" t="n">
        <v>29</v>
      </c>
      <c r="B32" s="14" t="inlineStr">
        <is>
          <t>№5</t>
        </is>
      </c>
      <c r="C32" s="14" t="inlineStr">
        <is>
          <t>act33_investigation.pdf</t>
        </is>
      </c>
      <c r="D32" s="14" t="inlineStr">
        <is>
          <t>18.06.2019</t>
        </is>
      </c>
    </row>
    <row r="33">
      <c r="A33" s="14" t="n">
        <v>30</v>
      </c>
      <c r="B33" s="14" t="inlineStr">
        <is>
          <t>№6</t>
        </is>
      </c>
      <c r="C33" s="14" t="inlineStr">
        <is>
          <t>act34_investigation.pdf</t>
        </is>
      </c>
      <c r="D33" s="14" t="inlineStr">
        <is>
          <t>21.07.2019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2026-07-13T10:37:23Z</dcterms:created>
  <dcterms:modified xmlns:dcterms="http://purl.org/dc/terms/" xmlns:xsi="http://www.w3.org/2001/XMLSchema-instance" xsi:type="dcterms:W3CDTF">2026-07-13T10:37:23Z</dcterms:modified>
</cp:coreProperties>
</file>