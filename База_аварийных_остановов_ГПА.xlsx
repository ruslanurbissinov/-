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База_данных" sheetId="1" state="visible" r:id="rId1"/>
    <sheet xmlns:r="http://schemas.openxmlformats.org/officeDocument/2006/relationships" name="Таблица_аварий" sheetId="2" state="visible" r:id="rId2"/>
    <sheet xmlns:r="http://schemas.openxmlformats.org/officeDocument/2006/relationships" name="Сводная_таблица" sheetId="3" state="visible" r:id="rId3"/>
    <sheet xmlns:r="http://schemas.openxmlformats.org/officeDocument/2006/relationships" name="Инциденты_детально" sheetId="4" state="visible" r:id="rId4"/>
    <sheet xmlns:r="http://schemas.openxmlformats.org/officeDocument/2006/relationships" name="Классификатор_причин" sheetId="5" state="visible" r:id="rId5"/>
    <sheet xmlns:r="http://schemas.openxmlformats.org/officeDocument/2006/relationships" name="Устранение_дефектов" sheetId="6" state="visible" r:id="rId6"/>
    <sheet xmlns:r="http://schemas.openxmlformats.org/officeDocument/2006/relationships" name="Источники"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Arial"/>
      <b val="1"/>
      <color rgb="FFFFFFFF"/>
      <sz val="14"/>
    </font>
    <font>
      <name val="Arial"/>
      <b val="1"/>
      <color rgb="FF2D3748"/>
      <sz val="11"/>
    </font>
    <font>
      <name val="Arial"/>
      <sz val="11"/>
    </font>
    <font>
      <name val="Arial"/>
      <i val="1"/>
      <color rgb="FF718096"/>
      <sz val="8"/>
    </font>
    <font>
      <name val="Arial"/>
      <i val="1"/>
      <color rgb="FFC0392B"/>
      <sz val="9"/>
    </font>
    <font>
      <name val="Arial"/>
      <i val="1"/>
      <color rgb="FF9AA5B1"/>
      <sz val="11"/>
    </font>
    <font>
      <name val="Arial"/>
      <color rgb="FF1155CC"/>
      <sz val="11"/>
      <u val="single"/>
    </font>
    <font>
      <name val="Arial"/>
      <b val="1"/>
      <sz val="11"/>
    </font>
    <font>
      <name val="Arial"/>
      <b val="1"/>
      <color rgb="FFFFFFFF"/>
      <sz val="13"/>
    </font>
    <font>
      <name val="Arial"/>
      <b val="1"/>
      <color rgb="FF2D3748"/>
      <sz val="10"/>
    </font>
    <font>
      <name val="Arial"/>
      <b val="1"/>
      <sz val="10"/>
    </font>
    <font>
      <name val="Arial"/>
      <sz val="10"/>
    </font>
    <font>
      <name val="Arial"/>
      <sz val="9"/>
    </font>
    <font>
      <name val="Arial"/>
      <i val="1"/>
      <sz val="11"/>
    </font>
    <font>
      <name val="Arial"/>
      <b val="1"/>
      <color rgb="FF0F6E56"/>
      <sz val="10"/>
    </font>
    <font>
      <name val="Arial"/>
      <color rgb="FF1155CC"/>
      <sz val="10"/>
      <u val="single"/>
    </font>
  </fonts>
  <fills count="4">
    <fill>
      <patternFill/>
    </fill>
    <fill>
      <patternFill patternType="gray125"/>
    </fill>
    <fill>
      <patternFill patternType="solid">
        <fgColor rgb="FF1A365D"/>
      </patternFill>
    </fill>
    <fill>
      <patternFill patternType="solid">
        <fgColor rgb="FFF7FAF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vertical="center" wrapText="1"/>
    </xf>
    <xf numFmtId="0" fontId="4" fillId="0" borderId="1"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center" wrapText="1"/>
    </xf>
    <xf numFmtId="0" fontId="7" fillId="0" borderId="1" applyAlignment="1" pivotButton="0" quotePrefix="0" xfId="0">
      <alignment vertical="center" wrapText="1"/>
    </xf>
    <xf numFmtId="0" fontId="8" fillId="0" borderId="1" applyAlignment="1" pivotButton="0" quotePrefix="0" xfId="0">
      <alignment vertical="center" wrapText="1"/>
    </xf>
    <xf numFmtId="0" fontId="9" fillId="2" borderId="1" applyAlignment="1" pivotButton="0" quotePrefix="0" xfId="0">
      <alignment horizontal="center" vertical="center" wrapText="1"/>
    </xf>
    <xf numFmtId="0" fontId="8" fillId="0" borderId="1" applyAlignment="1" pivotButton="0" quotePrefix="0" xfId="0">
      <alignment horizontal="center" vertical="center"/>
    </xf>
    <xf numFmtId="0" fontId="3" fillId="0" borderId="1" applyAlignment="1" pivotButton="0" quotePrefix="0" xfId="0">
      <alignment horizontal="center" vertical="center"/>
    </xf>
    <xf numFmtId="0" fontId="8" fillId="3" borderId="1" applyAlignment="1" pivotButton="0" quotePrefix="0" xfId="0">
      <alignment horizontal="center" vertical="center"/>
    </xf>
    <xf numFmtId="0" fontId="10" fillId="3" borderId="1" applyAlignment="1" pivotButton="0" quotePrefix="0" xfId="0">
      <alignment horizontal="center" vertical="center"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164" fontId="14" fillId="0" borderId="1" applyAlignment="1" pivotButton="0" quotePrefix="0" xfId="0">
      <alignment vertical="center" wrapText="1"/>
    </xf>
    <xf numFmtId="0" fontId="8" fillId="3" borderId="1" pivotButton="0" quotePrefix="0" xfId="0"/>
    <xf numFmtId="164" fontId="8" fillId="3" borderId="1" pivotButton="0" quotePrefix="0" xfId="0"/>
    <xf numFmtId="0" fontId="15" fillId="0" borderId="1" applyAlignment="1" pivotButton="0" quotePrefix="0" xfId="0">
      <alignment vertical="top" wrapText="1"/>
    </xf>
    <xf numFmtId="0" fontId="0" fillId="0" borderId="1" applyAlignment="1" pivotButton="0" quotePrefix="0" xfId="0">
      <alignment vertical="top" wrapText="1"/>
    </xf>
    <xf numFmtId="0" fontId="1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1042;&#1089;&#1077;_&#1072;&#1082;&#1090;&#1099;_&#1088;&#1072;&#1089;&#1089;&#1083;&#1077;&#1076;&#1086;&#1074;&#1072;&#1085;&#1080;&#1081;.pdf" TargetMode="External" Id="rId1"/><Relationship Type="http://schemas.openxmlformats.org/officeDocument/2006/relationships/hyperlink" Target="&#1042;&#1089;&#1077;_&#1072;&#1082;&#1090;&#1099;_&#1088;&#1072;&#1089;&#1089;&#1083;&#1077;&#1076;&#1086;&#1074;&#1072;&#1085;&#1080;&#1081;.pdf" TargetMode="External" Id="rId2"/><Relationship Type="http://schemas.openxmlformats.org/officeDocument/2006/relationships/hyperlink" Target="&#1042;&#1089;&#1077;_&#1072;&#1082;&#1090;&#1099;_&#1088;&#1072;&#1089;&#1089;&#1083;&#1077;&#1076;&#1086;&#1074;&#1072;&#1085;&#1080;&#1081;.pdf" TargetMode="External" Id="rId3"/><Relationship Type="http://schemas.openxmlformats.org/officeDocument/2006/relationships/hyperlink" Target="&#1042;&#1089;&#1077;_&#1072;&#1082;&#1090;&#1099;_&#1088;&#1072;&#1089;&#1089;&#1083;&#1077;&#1076;&#1086;&#1074;&#1072;&#1085;&#1080;&#1081;.pdf" TargetMode="External" Id="rId4"/><Relationship Type="http://schemas.openxmlformats.org/officeDocument/2006/relationships/hyperlink" Target="&#1042;&#1089;&#1077;_&#1072;&#1082;&#1090;&#1099;_&#1088;&#1072;&#1089;&#1089;&#1083;&#1077;&#1076;&#1086;&#1074;&#1072;&#1085;&#1080;&#1081;.pdf" TargetMode="External" Id="rId5"/><Relationship Type="http://schemas.openxmlformats.org/officeDocument/2006/relationships/hyperlink" Target="&#1042;&#1089;&#1077;_&#1072;&#1082;&#1090;&#1099;_&#1088;&#1072;&#1089;&#1089;&#1083;&#1077;&#1076;&#1086;&#1074;&#1072;&#1085;&#1080;&#1081;.pdf" TargetMode="External" Id="rId6"/><Relationship Type="http://schemas.openxmlformats.org/officeDocument/2006/relationships/hyperlink" Target="&#1042;&#1089;&#1077;_&#1072;&#1082;&#1090;&#1099;_&#1088;&#1072;&#1089;&#1089;&#1083;&#1077;&#1076;&#1086;&#1074;&#1072;&#1085;&#1080;&#1081;.pdf" TargetMode="External" Id="rId7"/><Relationship Type="http://schemas.openxmlformats.org/officeDocument/2006/relationships/hyperlink" Target="&#1042;&#1089;&#1077;_&#1072;&#1082;&#1090;&#1099;_&#1088;&#1072;&#1089;&#1089;&#1083;&#1077;&#1076;&#1086;&#1074;&#1072;&#1085;&#1080;&#1081;.pdf" TargetMode="External" Id="rId8"/><Relationship Type="http://schemas.openxmlformats.org/officeDocument/2006/relationships/hyperlink" Target="&#1042;&#1089;&#1077;_&#1072;&#1082;&#1090;&#1099;_&#1088;&#1072;&#1089;&#1089;&#1083;&#1077;&#1076;&#1086;&#1074;&#1072;&#1085;&#1080;&#1081;.pdf" TargetMode="External" Id="rId9"/><Relationship Type="http://schemas.openxmlformats.org/officeDocument/2006/relationships/hyperlink" Target="&#1042;&#1089;&#1077;_&#1072;&#1082;&#1090;&#1099;_&#1088;&#1072;&#1089;&#1089;&#1083;&#1077;&#1076;&#1086;&#1074;&#1072;&#1085;&#1080;&#1081;.pdf" TargetMode="External" Id="rId10"/><Relationship Type="http://schemas.openxmlformats.org/officeDocument/2006/relationships/hyperlink" Target="&#1042;&#1089;&#1077;_&#1072;&#1082;&#1090;&#1099;_&#1088;&#1072;&#1089;&#1089;&#1083;&#1077;&#1076;&#1086;&#1074;&#1072;&#1085;&#1080;&#1081;.pdf" TargetMode="External" Id="rId11"/><Relationship Type="http://schemas.openxmlformats.org/officeDocument/2006/relationships/hyperlink" Target="&#1042;&#1089;&#1077;_&#1072;&#1082;&#1090;&#1099;_&#1088;&#1072;&#1089;&#1089;&#1083;&#1077;&#1076;&#1086;&#1074;&#1072;&#1085;&#1080;&#1081;.pdf" TargetMode="External" Id="rId12"/><Relationship Type="http://schemas.openxmlformats.org/officeDocument/2006/relationships/hyperlink" Target="&#1042;&#1089;&#1077;_&#1072;&#1082;&#1090;&#1099;_&#1088;&#1072;&#1089;&#1089;&#1083;&#1077;&#1076;&#1086;&#1074;&#1072;&#1085;&#1080;&#1081;.pdf" TargetMode="External" Id="rId13"/><Relationship Type="http://schemas.openxmlformats.org/officeDocument/2006/relationships/hyperlink" Target="&#1042;&#1089;&#1077;_&#1072;&#1082;&#1090;&#1099;_&#1088;&#1072;&#1089;&#1089;&#1083;&#1077;&#1076;&#1086;&#1074;&#1072;&#1085;&#1080;&#1081;.pdf" TargetMode="External" Id="rId14"/><Relationship Type="http://schemas.openxmlformats.org/officeDocument/2006/relationships/hyperlink" Target="&#1042;&#1089;&#1077;_&#1072;&#1082;&#1090;&#1099;_&#1088;&#1072;&#1089;&#1089;&#1083;&#1077;&#1076;&#1086;&#1074;&#1072;&#1085;&#1080;&#1081;.pdf" TargetMode="External" Id="rId15"/><Relationship Type="http://schemas.openxmlformats.org/officeDocument/2006/relationships/hyperlink" Target="&#1042;&#1089;&#1077;_&#1072;&#1082;&#1090;&#1099;_&#1088;&#1072;&#1089;&#1089;&#1083;&#1077;&#1076;&#1086;&#1074;&#1072;&#1085;&#1080;&#1081;.pdf" TargetMode="External" Id="rId16"/><Relationship Type="http://schemas.openxmlformats.org/officeDocument/2006/relationships/hyperlink" Target="&#1042;&#1089;&#1077;_&#1072;&#1082;&#1090;&#1099;_&#1088;&#1072;&#1089;&#1089;&#1083;&#1077;&#1076;&#1086;&#1074;&#1072;&#1085;&#1080;&#1081;.pdf" TargetMode="External" Id="rId17"/><Relationship Type="http://schemas.openxmlformats.org/officeDocument/2006/relationships/hyperlink" Target="&#1042;&#1089;&#1077;_&#1072;&#1082;&#1090;&#1099;_&#1088;&#1072;&#1089;&#1089;&#1083;&#1077;&#1076;&#1086;&#1074;&#1072;&#1085;&#1080;&#1081;.pdf" TargetMode="External" Id="rId18"/><Relationship Type="http://schemas.openxmlformats.org/officeDocument/2006/relationships/hyperlink" Target="&#1042;&#1089;&#1077;_&#1072;&#1082;&#1090;&#1099;_&#1088;&#1072;&#1089;&#1089;&#1083;&#1077;&#1076;&#1086;&#1074;&#1072;&#1085;&#1080;&#1081;.pdf" TargetMode="External" Id="rId19"/><Relationship Type="http://schemas.openxmlformats.org/officeDocument/2006/relationships/hyperlink" Target="&#1042;&#1089;&#1077;_&#1072;&#1082;&#1090;&#1099;_&#1088;&#1072;&#1089;&#1089;&#1083;&#1077;&#1076;&#1086;&#1074;&#1072;&#1085;&#1080;&#1081;.pdf" TargetMode="External" Id="rId20"/><Relationship Type="http://schemas.openxmlformats.org/officeDocument/2006/relationships/hyperlink" Target="&#1042;&#1089;&#1077;_&#1072;&#1082;&#1090;&#1099;_&#1088;&#1072;&#1089;&#1089;&#1083;&#1077;&#1076;&#1086;&#1074;&#1072;&#1085;&#1080;&#1081;.pdf" TargetMode="External" Id="rId21"/><Relationship Type="http://schemas.openxmlformats.org/officeDocument/2006/relationships/hyperlink" Target="&#1042;&#1089;&#1077;_&#1072;&#1082;&#1090;&#1099;_&#1088;&#1072;&#1089;&#1089;&#1083;&#1077;&#1076;&#1086;&#1074;&#1072;&#1085;&#1080;&#1081;.pdf" TargetMode="External" Id="rId22"/><Relationship Type="http://schemas.openxmlformats.org/officeDocument/2006/relationships/hyperlink" Target="&#1042;&#1089;&#1077;_&#1072;&#1082;&#1090;&#1099;_&#1088;&#1072;&#1089;&#1089;&#1083;&#1077;&#1076;&#1086;&#1074;&#1072;&#1085;&#1080;&#1081;.pdf" TargetMode="External" Id="rId23"/><Relationship Type="http://schemas.openxmlformats.org/officeDocument/2006/relationships/hyperlink" Target="&#1042;&#1089;&#1077;_&#1072;&#1082;&#1090;&#1099;_&#1088;&#1072;&#1089;&#1089;&#1083;&#1077;&#1076;&#1086;&#1074;&#1072;&#1085;&#1080;&#1081;.pdf" TargetMode="External" Id="rId24"/><Relationship Type="http://schemas.openxmlformats.org/officeDocument/2006/relationships/hyperlink" Target="&#1042;&#1089;&#1077;_&#1072;&#1082;&#1090;&#1099;_&#1088;&#1072;&#1089;&#1089;&#1083;&#1077;&#1076;&#1086;&#1074;&#1072;&#1085;&#1080;&#1081;.pdf" TargetMode="External" Id="rId25"/><Relationship Type="http://schemas.openxmlformats.org/officeDocument/2006/relationships/hyperlink" Target="&#1042;&#1089;&#1077;_&#1072;&#1082;&#1090;&#1099;_&#1088;&#1072;&#1089;&#1089;&#1083;&#1077;&#1076;&#1086;&#1074;&#1072;&#1085;&#1080;&#1081;.pdf" TargetMode="External" Id="rId26"/><Relationship Type="http://schemas.openxmlformats.org/officeDocument/2006/relationships/hyperlink" Target="&#1042;&#1089;&#1077;_&#1072;&#1082;&#1090;&#1099;_&#1088;&#1072;&#1089;&#1089;&#1083;&#1077;&#1076;&#1086;&#1074;&#1072;&#1085;&#1080;&#1081;.pdf" TargetMode="External" Id="rId27"/><Relationship Type="http://schemas.openxmlformats.org/officeDocument/2006/relationships/hyperlink" Target="&#1042;&#1089;&#1077;_&#1072;&#1082;&#1090;&#1099;_&#1088;&#1072;&#1089;&#1089;&#1083;&#1077;&#1076;&#1086;&#1074;&#1072;&#1085;&#1080;&#1081;.pdf" TargetMode="External" Id="rId28"/><Relationship Type="http://schemas.openxmlformats.org/officeDocument/2006/relationships/hyperlink" Target="&#1042;&#1089;&#1077;_&#1072;&#1082;&#1090;&#1099;_&#1088;&#1072;&#1089;&#1089;&#1083;&#1077;&#1076;&#1086;&#1074;&#1072;&#1085;&#1080;&#1081;.pdf" TargetMode="External" Id="rId29"/><Relationship Type="http://schemas.openxmlformats.org/officeDocument/2006/relationships/hyperlink" Target="&#1042;&#1089;&#1077;_&#1072;&#1082;&#1090;&#1099;_&#1088;&#1072;&#1089;&#1089;&#1083;&#1077;&#1076;&#1086;&#1074;&#1072;&#1085;&#1080;&#1081;.pdf" TargetMode="External" Id="rId30"/><Relationship Type="http://schemas.openxmlformats.org/officeDocument/2006/relationships/hyperlink" Target="&#1042;&#1089;&#1077;_&#1072;&#1082;&#1090;&#1099;_&#1088;&#1072;&#1089;&#1089;&#1083;&#1077;&#1076;&#1086;&#1074;&#1072;&#1085;&#1080;&#1081;.pdf" TargetMode="External" Id="rId31"/><Relationship Type="http://schemas.openxmlformats.org/officeDocument/2006/relationships/hyperlink" Target="&#1042;&#1089;&#1077;_&#1072;&#1082;&#1090;&#1099;_&#1088;&#1072;&#1089;&#1089;&#1083;&#1077;&#1076;&#1086;&#1074;&#1072;&#1085;&#1080;&#1081;.pdf" TargetMode="External" Id="rId32"/><Relationship Type="http://schemas.openxmlformats.org/officeDocument/2006/relationships/hyperlink" Target="&#1042;&#1089;&#1077;_&#1072;&#1082;&#1090;&#1099;_&#1088;&#1072;&#1089;&#1089;&#1083;&#1077;&#1076;&#1086;&#1074;&#1072;&#1085;&#1080;&#1081;.pdf" TargetMode="External" Id="rId33"/><Relationship Type="http://schemas.openxmlformats.org/officeDocument/2006/relationships/hyperlink" Target="&#1042;&#1089;&#1077;_&#1072;&#1082;&#1090;&#1099;_&#1088;&#1072;&#1089;&#1089;&#1083;&#1077;&#1076;&#1086;&#1074;&#1072;&#1085;&#1080;&#1081;.pdf" TargetMode="External" Id="rId34"/><Relationship Type="http://schemas.openxmlformats.org/officeDocument/2006/relationships/hyperlink" Target="&#1042;&#1089;&#1077;_&#1072;&#1082;&#1090;&#1099;_&#1088;&#1072;&#1089;&#1089;&#1083;&#1077;&#1076;&#1086;&#1074;&#1072;&#1085;&#1080;&#1081;.pdf" TargetMode="External" Id="rId35"/><Relationship Type="http://schemas.openxmlformats.org/officeDocument/2006/relationships/hyperlink" Target="&#1042;&#1089;&#1077;_&#1072;&#1082;&#1090;&#1099;_&#1088;&#1072;&#1089;&#1089;&#1083;&#1077;&#1076;&#1086;&#1074;&#1072;&#1085;&#1080;&#1081;.pdf" TargetMode="External" Id="rId36"/><Relationship Type="http://schemas.openxmlformats.org/officeDocument/2006/relationships/hyperlink" Target="&#1042;&#1089;&#1077;_&#1072;&#1082;&#1090;&#1099;_&#1088;&#1072;&#1089;&#1089;&#1083;&#1077;&#1076;&#1086;&#1074;&#1072;&#1085;&#1080;&#1081;.pdf" TargetMode="External" Id="rId37"/><Relationship Type="http://schemas.openxmlformats.org/officeDocument/2006/relationships/hyperlink" Target="&#1042;&#1089;&#1077;_&#1072;&#1082;&#1090;&#1099;_&#1088;&#1072;&#1089;&#1089;&#1083;&#1077;&#1076;&#1086;&#1074;&#1072;&#1085;&#1080;&#1081;.pdf" TargetMode="External" Id="rId38"/><Relationship Type="http://schemas.openxmlformats.org/officeDocument/2006/relationships/hyperlink" Target="&#1042;&#1089;&#1077;_&#1072;&#1082;&#1090;&#1099;_&#1088;&#1072;&#1089;&#1089;&#1083;&#1077;&#1076;&#1086;&#1074;&#1072;&#1085;&#1080;&#1081;.pdf" TargetMode="External" Id="rId39"/><Relationship Type="http://schemas.openxmlformats.org/officeDocument/2006/relationships/hyperlink" Target="&#1042;&#1089;&#1077;_&#1072;&#1082;&#1090;&#1099;_&#1088;&#1072;&#1089;&#1089;&#1083;&#1077;&#1076;&#1086;&#1074;&#1072;&#1085;&#1080;&#1081;.pdf" TargetMode="External" Id="rId40"/><Relationship Type="http://schemas.openxmlformats.org/officeDocument/2006/relationships/hyperlink" Target="&#1042;&#1089;&#1077;_&#1072;&#1082;&#1090;&#1099;_&#1088;&#1072;&#1089;&#1089;&#1083;&#1077;&#1076;&#1086;&#1074;&#1072;&#1085;&#1080;&#1081;.pdf" TargetMode="External" Id="rId41"/><Relationship Type="http://schemas.openxmlformats.org/officeDocument/2006/relationships/hyperlink" Target="&#1042;&#1089;&#1077;_&#1072;&#1082;&#1090;&#1099;_&#1088;&#1072;&#1089;&#1089;&#1083;&#1077;&#1076;&#1086;&#1074;&#1072;&#1085;&#1080;&#1081;.pdf" TargetMode="External" Id="rId42"/><Relationship Type="http://schemas.openxmlformats.org/officeDocument/2006/relationships/hyperlink" Target="&#1042;&#1089;&#1077;_&#1072;&#1082;&#1090;&#1099;_&#1088;&#1072;&#1089;&#1089;&#1083;&#1077;&#1076;&#1086;&#1074;&#1072;&#1085;&#1080;&#1081;.pdf" TargetMode="External" Id="rId43"/><Relationship Type="http://schemas.openxmlformats.org/officeDocument/2006/relationships/hyperlink" Target="&#1042;&#1089;&#1077;_&#1072;&#1082;&#1090;&#1099;_&#1088;&#1072;&#1089;&#1089;&#1083;&#1077;&#1076;&#1086;&#1074;&#1072;&#1085;&#1080;&#1081;.pdf" TargetMode="External" Id="rId44"/><Relationship Type="http://schemas.openxmlformats.org/officeDocument/2006/relationships/hyperlink" Target="&#1042;&#1089;&#1077;_&#1072;&#1082;&#1090;&#1099;_&#1088;&#1072;&#1089;&#1089;&#1083;&#1077;&#1076;&#1086;&#1074;&#1072;&#1085;&#1080;&#1081;.pdf" TargetMode="External" Id="rId45"/><Relationship Type="http://schemas.openxmlformats.org/officeDocument/2006/relationships/hyperlink" Target="&#1042;&#1089;&#1077;_&#1072;&#1082;&#1090;&#1099;_&#1088;&#1072;&#1089;&#1089;&#1083;&#1077;&#1076;&#1086;&#1074;&#1072;&#1085;&#1080;&#1081;.pdf" TargetMode="External" Id="rId46"/><Relationship Type="http://schemas.openxmlformats.org/officeDocument/2006/relationships/hyperlink" Target="&#1042;&#1089;&#1077;_&#1072;&#1082;&#1090;&#1099;_&#1088;&#1072;&#1089;&#1089;&#1083;&#1077;&#1076;&#1086;&#1074;&#1072;&#1085;&#1080;&#1081;.pdf" TargetMode="External" Id="rId47"/><Relationship Type="http://schemas.openxmlformats.org/officeDocument/2006/relationships/hyperlink" Target="&#1042;&#1089;&#1077;_&#1072;&#1082;&#1090;&#1099;_&#1088;&#1072;&#1089;&#1089;&#1083;&#1077;&#1076;&#1086;&#1074;&#1072;&#1085;&#1080;&#1081;.pdf" TargetMode="External" Id="rId48"/><Relationship Type="http://schemas.openxmlformats.org/officeDocument/2006/relationships/hyperlink" Target="&#1042;&#1089;&#1077;_&#1072;&#1082;&#1090;&#1099;_&#1088;&#1072;&#1089;&#1089;&#1083;&#1077;&#1076;&#1086;&#1074;&#1072;&#1085;&#1080;&#1081;.pdf" TargetMode="External" Id="rId49"/></Relationships>
</file>

<file path=xl/worksheets/_rels/sheet6.xml.rels><Relationships xmlns="http://schemas.openxmlformats.org/package/2006/relationships"><Relationship Type="http://schemas.openxmlformats.org/officeDocument/2006/relationships/hyperlink" Target="act019_work.pdf" TargetMode="External" Id="rId1"/><Relationship Type="http://schemas.openxmlformats.org/officeDocument/2006/relationships/hyperlink" Target="act16_work.pdf" TargetMode="External" Id="rId2"/><Relationship Type="http://schemas.openxmlformats.org/officeDocument/2006/relationships/hyperlink" Target="act17_defect.pdf" TargetMode="External" Id="rId3"/><Relationship Type="http://schemas.openxmlformats.org/officeDocument/2006/relationships/hyperlink" Target="act18_work.pdf" TargetMode="External" Id="rId4"/></Relationships>
</file>

<file path=xl/worksheets/sheet1.xml><?xml version="1.0" encoding="utf-8"?>
<worksheet xmlns="http://schemas.openxmlformats.org/spreadsheetml/2006/main">
  <sheetPr>
    <outlinePr summaryBelow="1" summaryRight="1"/>
    <pageSetUpPr/>
  </sheetPr>
  <dimension ref="A1:F72"/>
  <sheetViews>
    <sheetView showGridLines="0" workbookViewId="0">
      <selection activeCell="A1" sqref="A1"/>
    </sheetView>
  </sheetViews>
  <sheetFormatPr baseColWidth="8" defaultRowHeight="15"/>
  <cols>
    <col width="8" customWidth="1" min="1" max="1"/>
    <col width="12" customWidth="1" min="2" max="2"/>
    <col width="16" customWidth="1" min="3" max="3"/>
    <col width="13" customWidth="1" min="4" max="4"/>
    <col width="12" customWidth="1" min="5" max="5"/>
    <col width="55" customWidth="1" min="6" max="6"/>
  </cols>
  <sheetData>
    <row r="1" ht="28" customHeight="1">
      <c r="A1" s="1" t="inlineStr">
        <is>
          <t>БАЗА ДАННЫХ ПО АВТО ОСТАНОВАМ ГПА</t>
        </is>
      </c>
    </row>
    <row r="3">
      <c r="A3" s="2" t="inlineStr">
        <is>
          <t>Год</t>
        </is>
      </c>
      <c r="B3" s="2" t="inlineStr">
        <is>
          <t>ГПА</t>
        </is>
      </c>
      <c r="C3" s="2" t="inlineStr">
        <is>
          <t>Кол-во остановов</t>
        </is>
      </c>
      <c r="D3" s="2" t="inlineStr">
        <is>
          <t>Дата</t>
        </is>
      </c>
      <c r="E3" s="2" t="inlineStr">
        <is>
          <t>№ Акта</t>
        </is>
      </c>
      <c r="F3" s="2" t="inlineStr">
        <is>
          <t>Источник (файл)</t>
        </is>
      </c>
    </row>
    <row r="4">
      <c r="A4" s="3" t="n">
        <v>2020</v>
      </c>
      <c r="B4" s="3" t="inlineStr">
        <is>
          <t>ГПА №2</t>
        </is>
      </c>
      <c r="C4" s="3" t="n">
        <v>1</v>
      </c>
      <c r="D4" s="3" t="inlineStr">
        <is>
          <t>10.06.2020</t>
        </is>
      </c>
      <c r="E4" s="3" t="inlineStr">
        <is>
          <t>2020-№1</t>
        </is>
      </c>
      <c r="F4" s="4" t="inlineStr">
        <is>
          <t>act01_investigation.pdf</t>
        </is>
      </c>
    </row>
    <row r="5">
      <c r="A5" s="3" t="n">
        <v>2022</v>
      </c>
      <c r="B5" s="3" t="inlineStr">
        <is>
          <t>ГПА №3</t>
        </is>
      </c>
      <c r="C5" s="3" t="n">
        <v>1</v>
      </c>
      <c r="D5" s="3" t="inlineStr">
        <is>
          <t>01.02.2022</t>
        </is>
      </c>
      <c r="E5" s="3" t="inlineStr">
        <is>
          <t>2022-№1</t>
        </is>
      </c>
      <c r="F5" s="4" t="inlineStr">
        <is>
          <t>act02_investigation.pdf</t>
        </is>
      </c>
    </row>
    <row r="6">
      <c r="A6" s="3" t="n">
        <v>2022</v>
      </c>
      <c r="B6" s="3" t="inlineStr">
        <is>
          <t>ГПА №3</t>
        </is>
      </c>
      <c r="C6" s="3" t="n">
        <v>1</v>
      </c>
      <c r="D6" s="3" t="inlineStr">
        <is>
          <t>11.03.2022</t>
        </is>
      </c>
      <c r="E6" s="3" t="inlineStr">
        <is>
          <t>2022-№2</t>
        </is>
      </c>
      <c r="F6" s="4" t="inlineStr">
        <is>
          <t>act03_investigation.pdf</t>
        </is>
      </c>
    </row>
    <row r="7">
      <c r="A7" s="3" t="n">
        <v>2022</v>
      </c>
      <c r="B7" s="3" t="inlineStr">
        <is>
          <t>ГПА №2</t>
        </is>
      </c>
      <c r="C7" s="3" t="n">
        <v>1</v>
      </c>
      <c r="D7" s="3" t="inlineStr">
        <is>
          <t>25.04.2022</t>
        </is>
      </c>
      <c r="E7" s="3" t="inlineStr">
        <is>
          <t>2022-№3</t>
        </is>
      </c>
      <c r="F7" s="4" t="inlineStr">
        <is>
          <t>act04_investigation.pdf</t>
        </is>
      </c>
    </row>
    <row r="8">
      <c r="A8" s="3" t="n">
        <v>2022</v>
      </c>
      <c r="B8" s="3" t="inlineStr">
        <is>
          <t>ГПА №2</t>
        </is>
      </c>
      <c r="C8" s="3" t="n">
        <v>1</v>
      </c>
      <c r="D8" s="3" t="inlineStr">
        <is>
          <t>07.06.2022</t>
        </is>
      </c>
      <c r="E8" s="3" t="inlineStr">
        <is>
          <t>2022-№5</t>
        </is>
      </c>
      <c r="F8" s="4" t="inlineStr">
        <is>
          <t>act05_investigation.pdf</t>
        </is>
      </c>
    </row>
    <row r="9">
      <c r="A9" s="3" t="n">
        <v>2023</v>
      </c>
      <c r="B9" s="3" t="inlineStr">
        <is>
          <t>ГПА №2</t>
        </is>
      </c>
      <c r="C9" s="3" t="n">
        <v>1</v>
      </c>
      <c r="D9" s="3" t="inlineStr">
        <is>
          <t>11.03.2023</t>
        </is>
      </c>
      <c r="E9" s="3" t="inlineStr">
        <is>
          <t>2023-№1</t>
        </is>
      </c>
      <c r="F9" s="4" t="inlineStr">
        <is>
          <t>act06_investigation.pdf</t>
        </is>
      </c>
    </row>
    <row r="10">
      <c r="A10" s="3" t="n">
        <v>2023</v>
      </c>
      <c r="B10" s="3" t="inlineStr">
        <is>
          <t>ГПА №3</t>
        </is>
      </c>
      <c r="C10" s="3" t="n">
        <v>1</v>
      </c>
      <c r="D10" s="3" t="inlineStr">
        <is>
          <t>11.03.2023</t>
        </is>
      </c>
      <c r="E10" s="3" t="inlineStr">
        <is>
          <t>2023-№1</t>
        </is>
      </c>
      <c r="F10" s="4" t="inlineStr">
        <is>
          <t>act06_investigation.pdf</t>
        </is>
      </c>
    </row>
    <row r="11">
      <c r="A11" s="3" t="n">
        <v>2023</v>
      </c>
      <c r="B11" s="3" t="inlineStr">
        <is>
          <t>ГПА №2</t>
        </is>
      </c>
      <c r="C11" s="3" t="n">
        <v>1</v>
      </c>
      <c r="D11" s="3" t="inlineStr">
        <is>
          <t>14.04.2023</t>
        </is>
      </c>
      <c r="E11" s="3" t="inlineStr">
        <is>
          <t>2023-№2</t>
        </is>
      </c>
      <c r="F11" s="4" t="inlineStr">
        <is>
          <t>act07_investigation.pdf</t>
        </is>
      </c>
    </row>
    <row r="12">
      <c r="A12" s="3" t="n">
        <v>2023</v>
      </c>
      <c r="B12" s="3" t="inlineStr">
        <is>
          <t>ГПА №2</t>
        </is>
      </c>
      <c r="C12" s="3" t="n">
        <v>1</v>
      </c>
      <c r="D12" s="3" t="inlineStr">
        <is>
          <t>06.06.2023</t>
        </is>
      </c>
      <c r="E12" s="3" t="inlineStr">
        <is>
          <t>2023-№5</t>
        </is>
      </c>
      <c r="F12" s="4" t="inlineStr">
        <is>
          <t>act08_investigation.pdf</t>
        </is>
      </c>
    </row>
    <row r="13">
      <c r="A13" s="3" t="n">
        <v>2024</v>
      </c>
      <c r="B13" s="3" t="inlineStr">
        <is>
          <t>ГПА №1</t>
        </is>
      </c>
      <c r="C13" s="3" t="n">
        <v>1</v>
      </c>
      <c r="D13" s="3" t="inlineStr">
        <is>
          <t>04.03.2024</t>
        </is>
      </c>
      <c r="E13" s="3" t="inlineStr">
        <is>
          <t>2024-№1</t>
        </is>
      </c>
      <c r="F13" s="4" t="inlineStr">
        <is>
          <t>act09_investigation.pdf</t>
        </is>
      </c>
    </row>
    <row r="14">
      <c r="A14" s="3" t="n">
        <v>2024</v>
      </c>
      <c r="B14" s="3" t="inlineStr">
        <is>
          <t>ГПА №1</t>
        </is>
      </c>
      <c r="C14" s="3" t="n">
        <v>1</v>
      </c>
      <c r="D14" s="3" t="inlineStr">
        <is>
          <t>11.03.2024</t>
        </is>
      </c>
      <c r="E14" s="3" t="inlineStr">
        <is>
          <t>2024-№2</t>
        </is>
      </c>
      <c r="F14" s="4" t="inlineStr">
        <is>
          <t>act10_investigation.pdf</t>
        </is>
      </c>
    </row>
    <row r="15">
      <c r="A15" s="3" t="n">
        <v>2024</v>
      </c>
      <c r="B15" s="3" t="inlineStr">
        <is>
          <t>ГПА №3</t>
        </is>
      </c>
      <c r="C15" s="3" t="n">
        <v>1</v>
      </c>
      <c r="D15" s="3" t="inlineStr">
        <is>
          <t>11.03.2024</t>
        </is>
      </c>
      <c r="E15" s="3" t="inlineStr">
        <is>
          <t>2024-№2</t>
        </is>
      </c>
      <c r="F15" s="4" t="inlineStr">
        <is>
          <t>act10_investigation.pdf</t>
        </is>
      </c>
    </row>
    <row r="16">
      <c r="A16" s="3" t="n">
        <v>2024</v>
      </c>
      <c r="B16" s="3" t="inlineStr">
        <is>
          <t>ГПА №3</t>
        </is>
      </c>
      <c r="C16" s="3" t="n">
        <v>1</v>
      </c>
      <c r="D16" s="3" t="inlineStr">
        <is>
          <t>10.05.2024</t>
        </is>
      </c>
      <c r="E16" s="3" t="inlineStr">
        <is>
          <t>2024-№3</t>
        </is>
      </c>
      <c r="F16" s="4" t="inlineStr">
        <is>
          <t>act11_investigation.pdf</t>
        </is>
      </c>
    </row>
    <row r="17">
      <c r="A17" s="3" t="n">
        <v>2024</v>
      </c>
      <c r="B17" s="3" t="inlineStr">
        <is>
          <t>ГПА №1</t>
        </is>
      </c>
      <c r="C17" s="3" t="n">
        <v>1</v>
      </c>
      <c r="D17" s="3" t="inlineStr">
        <is>
          <t>28.12.2024</t>
        </is>
      </c>
      <c r="E17" s="3" t="inlineStr">
        <is>
          <t>2024-№4</t>
        </is>
      </c>
      <c r="F17" s="4" t="inlineStr">
        <is>
          <t>act12_investigation.pdf</t>
        </is>
      </c>
    </row>
    <row r="18">
      <c r="A18" s="3" t="n">
        <v>2025</v>
      </c>
      <c r="B18" s="3" t="inlineStr">
        <is>
          <t>ГПА №1</t>
        </is>
      </c>
      <c r="C18" s="3" t="n">
        <v>1</v>
      </c>
      <c r="D18" s="3" t="inlineStr">
        <is>
          <t>02.05.2025</t>
        </is>
      </c>
      <c r="E18" s="3" t="inlineStr">
        <is>
          <t>2025-№1</t>
        </is>
      </c>
      <c r="F18" s="4" t="inlineStr">
        <is>
          <t>act13_investigation.pdf</t>
        </is>
      </c>
    </row>
    <row r="19">
      <c r="A19" s="3" t="n">
        <v>2025</v>
      </c>
      <c r="B19" s="3" t="inlineStr">
        <is>
          <t>ГПА №3</t>
        </is>
      </c>
      <c r="C19" s="3" t="n">
        <v>1</v>
      </c>
      <c r="D19" s="3" t="inlineStr">
        <is>
          <t>02.05.2025</t>
        </is>
      </c>
      <c r="E19" s="3" t="inlineStr">
        <is>
          <t>2025-№1</t>
        </is>
      </c>
      <c r="F19" s="4" t="inlineStr">
        <is>
          <t>act13_investigation.pdf</t>
        </is>
      </c>
    </row>
    <row r="20">
      <c r="A20" s="3" t="n">
        <v>2026</v>
      </c>
      <c r="B20" s="3" t="inlineStr">
        <is>
          <t>ГПА №1</t>
        </is>
      </c>
      <c r="C20" s="3" t="n">
        <v>1</v>
      </c>
      <c r="D20" s="3" t="inlineStr">
        <is>
          <t>27.04.2026</t>
        </is>
      </c>
      <c r="E20" s="3" t="inlineStr">
        <is>
          <t>2026-№1</t>
        </is>
      </c>
      <c r="F20" s="4" t="inlineStr">
        <is>
          <t>act14_investigation.pdf</t>
        </is>
      </c>
    </row>
    <row r="21">
      <c r="A21" s="3" t="n">
        <v>2026</v>
      </c>
      <c r="B21" s="3" t="inlineStr">
        <is>
          <t>ГПА №3</t>
        </is>
      </c>
      <c r="C21" s="3" t="n">
        <v>1</v>
      </c>
      <c r="D21" s="3" t="inlineStr">
        <is>
          <t>27.04.2026</t>
        </is>
      </c>
      <c r="E21" s="3" t="inlineStr">
        <is>
          <t>2026-№1</t>
        </is>
      </c>
      <c r="F21" s="4" t="inlineStr">
        <is>
          <t>act14_investigation.pdf</t>
        </is>
      </c>
    </row>
    <row r="22">
      <c r="A22" s="3" t="n">
        <v>2023</v>
      </c>
      <c r="B22" s="3" t="inlineStr">
        <is>
          <t>ГПА №2</t>
        </is>
      </c>
      <c r="C22" s="3" t="n">
        <v>1</v>
      </c>
      <c r="D22" s="3" t="inlineStr">
        <is>
          <t>01.06.2023</t>
        </is>
      </c>
      <c r="E22" s="3" t="inlineStr">
        <is>
          <t>2023-№4</t>
        </is>
      </c>
      <c r="F22" s="4" t="inlineStr">
        <is>
          <t>act15_investigation.pdf</t>
        </is>
      </c>
    </row>
    <row r="23">
      <c r="A23" s="3" t="n">
        <v>2018</v>
      </c>
      <c r="B23" s="3" t="inlineStr">
        <is>
          <t>ГПА №1</t>
        </is>
      </c>
      <c r="C23" s="3" t="n">
        <v>1</v>
      </c>
      <c r="D23" s="3" t="inlineStr">
        <is>
          <t>07.03.2018</t>
        </is>
      </c>
      <c r="E23" s="3" t="inlineStr">
        <is>
          <t>2018-№3</t>
        </is>
      </c>
      <c r="F23" s="4" t="inlineStr">
        <is>
          <t>act20_investigation.pdf</t>
        </is>
      </c>
    </row>
    <row r="24">
      <c r="A24" s="3" t="n">
        <v>2018</v>
      </c>
      <c r="B24" s="3" t="inlineStr">
        <is>
          <t>ГПА №1</t>
        </is>
      </c>
      <c r="C24" s="3" t="n">
        <v>1</v>
      </c>
      <c r="D24" s="3" t="inlineStr">
        <is>
          <t>30.03.2018</t>
        </is>
      </c>
      <c r="E24" s="3" t="inlineStr">
        <is>
          <t>2018-№4</t>
        </is>
      </c>
      <c r="F24" s="4" t="inlineStr">
        <is>
          <t>act23_investigation.pdf</t>
        </is>
      </c>
    </row>
    <row r="25">
      <c r="A25" s="3" t="n">
        <v>2018</v>
      </c>
      <c r="B25" s="3" t="inlineStr">
        <is>
          <t>ГПА №2</t>
        </is>
      </c>
      <c r="C25" s="3" t="n">
        <v>1</v>
      </c>
      <c r="D25" s="3" t="inlineStr">
        <is>
          <t>30.03.2018</t>
        </is>
      </c>
      <c r="E25" s="3" t="inlineStr">
        <is>
          <t>2018-№4</t>
        </is>
      </c>
      <c r="F25" s="4" t="inlineStr">
        <is>
          <t>act23_investigation.pdf</t>
        </is>
      </c>
    </row>
    <row r="26">
      <c r="A26" s="3" t="n">
        <v>2018</v>
      </c>
      <c r="B26" s="3" t="inlineStr">
        <is>
          <t>ГПА №3</t>
        </is>
      </c>
      <c r="C26" s="3" t="n">
        <v>1</v>
      </c>
      <c r="D26" s="3" t="inlineStr">
        <is>
          <t>24.05.2018</t>
        </is>
      </c>
      <c r="E26" s="3" t="inlineStr">
        <is>
          <t>2018-№6</t>
        </is>
      </c>
      <c r="F26" s="4" t="inlineStr">
        <is>
          <t>act22_investigation.pdf</t>
        </is>
      </c>
    </row>
    <row r="27">
      <c r="A27" s="3" t="n">
        <v>2018</v>
      </c>
      <c r="B27" s="3" t="inlineStr">
        <is>
          <t>ГПА №2</t>
        </is>
      </c>
      <c r="C27" s="3" t="n">
        <v>1</v>
      </c>
      <c r="D27" s="3" t="inlineStr">
        <is>
          <t>28.05.2018</t>
        </is>
      </c>
      <c r="E27" s="3" t="inlineStr">
        <is>
          <t>2018-№7</t>
        </is>
      </c>
      <c r="F27" s="4" t="inlineStr">
        <is>
          <t>act21_investigation.pdf</t>
        </is>
      </c>
    </row>
    <row r="28">
      <c r="A28" s="3" t="n">
        <v>2018</v>
      </c>
      <c r="B28" s="3" t="inlineStr">
        <is>
          <t>ГПА №2</t>
        </is>
      </c>
      <c r="C28" s="3" t="n">
        <v>1</v>
      </c>
      <c r="D28" s="3" t="inlineStr">
        <is>
          <t>03.02.2018</t>
        </is>
      </c>
      <c r="E28" s="3" t="inlineStr">
        <is>
          <t>2018-№1</t>
        </is>
      </c>
      <c r="F28" s="4" t="inlineStr">
        <is>
          <t>act24_investigation.pdf</t>
        </is>
      </c>
    </row>
    <row r="29">
      <c r="A29" s="3" t="n">
        <v>2018</v>
      </c>
      <c r="B29" s="3" t="inlineStr">
        <is>
          <t>ГПА №1</t>
        </is>
      </c>
      <c r="C29" s="3" t="n">
        <v>1</v>
      </c>
      <c r="D29" s="3" t="inlineStr">
        <is>
          <t>21.02.2018</t>
        </is>
      </c>
      <c r="E29" s="3" t="inlineStr">
        <is>
          <t>2018-№2</t>
        </is>
      </c>
      <c r="F29" s="4" t="inlineStr">
        <is>
          <t>act25_investigation.pdf</t>
        </is>
      </c>
    </row>
    <row r="30">
      <c r="A30" s="3" t="n">
        <v>2018</v>
      </c>
      <c r="B30" s="3" t="inlineStr">
        <is>
          <t>ГПА №3</t>
        </is>
      </c>
      <c r="C30" s="3" t="n">
        <v>1</v>
      </c>
      <c r="D30" s="3" t="inlineStr">
        <is>
          <t>21.02.2018</t>
        </is>
      </c>
      <c r="E30" s="3" t="inlineStr">
        <is>
          <t>2018-№2</t>
        </is>
      </c>
      <c r="F30" s="4" t="inlineStr">
        <is>
          <t>act25_investigation.pdf</t>
        </is>
      </c>
    </row>
    <row r="31">
      <c r="A31" s="3" t="n">
        <v>2018</v>
      </c>
      <c r="B31" s="3" t="inlineStr">
        <is>
          <t>ГПА №1</t>
        </is>
      </c>
      <c r="C31" s="3" t="n">
        <v>1</v>
      </c>
      <c r="D31" s="3" t="inlineStr">
        <is>
          <t>30.03.2018</t>
        </is>
      </c>
      <c r="E31" s="3" t="inlineStr">
        <is>
          <t>2018-№5</t>
        </is>
      </c>
      <c r="F31" s="4" t="inlineStr">
        <is>
          <t>act26_investigation.pdf</t>
        </is>
      </c>
    </row>
    <row r="32">
      <c r="A32" s="3" t="n">
        <v>2018</v>
      </c>
      <c r="B32" s="3" t="inlineStr">
        <is>
          <t>ГПА №1</t>
        </is>
      </c>
      <c r="C32" s="3" t="n">
        <v>1</v>
      </c>
      <c r="D32" s="3" t="inlineStr">
        <is>
          <t>25.06.2018</t>
        </is>
      </c>
      <c r="E32" s="3" t="inlineStr">
        <is>
          <t>2018-№8</t>
        </is>
      </c>
      <c r="F32" s="4" t="inlineStr">
        <is>
          <t>act27_investigation.pdf</t>
        </is>
      </c>
    </row>
    <row r="33">
      <c r="A33" s="3" t="n">
        <v>2018</v>
      </c>
      <c r="B33" s="3" t="inlineStr">
        <is>
          <t>ГПА №3</t>
        </is>
      </c>
      <c r="C33" s="3" t="n">
        <v>1</v>
      </c>
      <c r="D33" s="3" t="inlineStr">
        <is>
          <t>25.06.2018</t>
        </is>
      </c>
      <c r="E33" s="3" t="inlineStr">
        <is>
          <t>2018-№8</t>
        </is>
      </c>
      <c r="F33" s="4" t="inlineStr">
        <is>
          <t>act27_investigation.pdf</t>
        </is>
      </c>
    </row>
    <row r="34">
      <c r="A34" s="3" t="n">
        <v>2018</v>
      </c>
      <c r="B34" s="3" t="inlineStr">
        <is>
          <t>ГПА №1</t>
        </is>
      </c>
      <c r="C34" s="3" t="n">
        <v>1</v>
      </c>
      <c r="D34" s="3" t="inlineStr">
        <is>
          <t>26.06.2018</t>
        </is>
      </c>
      <c r="E34" s="3" t="inlineStr">
        <is>
          <t>2018-№9</t>
        </is>
      </c>
      <c r="F34" s="4" t="inlineStr">
        <is>
          <t>act28_investigation.pdf</t>
        </is>
      </c>
    </row>
    <row r="35">
      <c r="A35" s="3" t="n">
        <v>2018</v>
      </c>
      <c r="B35" s="3" t="inlineStr">
        <is>
          <t>ГПА №2</t>
        </is>
      </c>
      <c r="C35" s="3" t="n">
        <v>1</v>
      </c>
      <c r="D35" s="3" t="inlineStr">
        <is>
          <t>26.06.2018</t>
        </is>
      </c>
      <c r="E35" s="3" t="inlineStr">
        <is>
          <t>2018-№9</t>
        </is>
      </c>
      <c r="F35" s="4" t="inlineStr">
        <is>
          <t>act28_investigation.pdf</t>
        </is>
      </c>
    </row>
    <row r="36">
      <c r="A36" s="3" t="n">
        <v>2019</v>
      </c>
      <c r="B36" s="3" t="inlineStr">
        <is>
          <t>ГПА №3</t>
        </is>
      </c>
      <c r="C36" s="3" t="n">
        <v>1</v>
      </c>
      <c r="D36" s="3" t="inlineStr">
        <is>
          <t>31.03.2019</t>
        </is>
      </c>
      <c r="E36" s="3" t="inlineStr">
        <is>
          <t>2019-№1</t>
        </is>
      </c>
      <c r="F36" s="4" t="inlineStr">
        <is>
          <t>act29_investigation.pdf</t>
        </is>
      </c>
    </row>
    <row r="37">
      <c r="A37" s="3" t="n">
        <v>2019</v>
      </c>
      <c r="B37" s="3" t="inlineStr">
        <is>
          <t>ГПА №1</t>
        </is>
      </c>
      <c r="C37" s="3" t="n">
        <v>1</v>
      </c>
      <c r="D37" s="3" t="inlineStr">
        <is>
          <t>13.04.2019</t>
        </is>
      </c>
      <c r="E37" s="3" t="inlineStr">
        <is>
          <t>2019-№2</t>
        </is>
      </c>
      <c r="F37" s="4" t="inlineStr">
        <is>
          <t>act30_investigation.pdf</t>
        </is>
      </c>
    </row>
    <row r="38">
      <c r="A38" s="3" t="n">
        <v>2019</v>
      </c>
      <c r="B38" s="3" t="inlineStr">
        <is>
          <t>ГПА №2</t>
        </is>
      </c>
      <c r="C38" s="3" t="n">
        <v>1</v>
      </c>
      <c r="D38" s="3" t="inlineStr">
        <is>
          <t>13.04.2019</t>
        </is>
      </c>
      <c r="E38" s="3" t="inlineStr">
        <is>
          <t>2019-№2</t>
        </is>
      </c>
      <c r="F38" s="4" t="inlineStr">
        <is>
          <t>act30_investigation.pdf</t>
        </is>
      </c>
    </row>
    <row r="39">
      <c r="A39" s="3" t="n">
        <v>2019</v>
      </c>
      <c r="B39" s="3" t="inlineStr">
        <is>
          <t>ГПА №3</t>
        </is>
      </c>
      <c r="C39" s="3" t="n">
        <v>1</v>
      </c>
      <c r="D39" s="3" t="inlineStr">
        <is>
          <t>13.04.2019</t>
        </is>
      </c>
      <c r="E39" s="3" t="inlineStr">
        <is>
          <t>2019-№2</t>
        </is>
      </c>
      <c r="F39" s="4" t="inlineStr">
        <is>
          <t>act30_investigation.pdf</t>
        </is>
      </c>
    </row>
    <row r="40">
      <c r="A40" s="3" t="n">
        <v>2019</v>
      </c>
      <c r="B40" s="3" t="inlineStr">
        <is>
          <t>ГПА №1</t>
        </is>
      </c>
      <c r="C40" s="3" t="n">
        <v>1</v>
      </c>
      <c r="D40" s="3" t="inlineStr">
        <is>
          <t>20.04.2019</t>
        </is>
      </c>
      <c r="E40" s="3" t="inlineStr">
        <is>
          <t>2019-№3</t>
        </is>
      </c>
      <c r="F40" s="4" t="inlineStr">
        <is>
          <t>act31_investigation.pdf</t>
        </is>
      </c>
    </row>
    <row r="41">
      <c r="A41" s="3" t="n">
        <v>2019</v>
      </c>
      <c r="B41" s="3" t="inlineStr">
        <is>
          <t>ГПА №2</t>
        </is>
      </c>
      <c r="C41" s="3" t="n">
        <v>1</v>
      </c>
      <c r="D41" s="3" t="inlineStr">
        <is>
          <t>20.04.2019</t>
        </is>
      </c>
      <c r="E41" s="3" t="inlineStr">
        <is>
          <t>2019-№3</t>
        </is>
      </c>
      <c r="F41" s="4" t="inlineStr">
        <is>
          <t>act31_investigation.pdf</t>
        </is>
      </c>
    </row>
    <row r="42">
      <c r="A42" s="3" t="n">
        <v>2019</v>
      </c>
      <c r="B42" s="3" t="inlineStr">
        <is>
          <t>ГПА №3</t>
        </is>
      </c>
      <c r="C42" s="3" t="n">
        <v>1</v>
      </c>
      <c r="D42" s="3" t="inlineStr">
        <is>
          <t>08.05.2019</t>
        </is>
      </c>
      <c r="E42" s="3" t="inlineStr">
        <is>
          <t>2019-№4</t>
        </is>
      </c>
      <c r="F42" s="4" t="inlineStr">
        <is>
          <t>act32_investigation.pdf</t>
        </is>
      </c>
    </row>
    <row r="43">
      <c r="A43" s="3" t="n">
        <v>2019</v>
      </c>
      <c r="B43" s="3" t="inlineStr">
        <is>
          <t>ГПА №1</t>
        </is>
      </c>
      <c r="C43" s="3" t="n">
        <v>1</v>
      </c>
      <c r="D43" s="3" t="inlineStr">
        <is>
          <t>18.06.2019</t>
        </is>
      </c>
      <c r="E43" s="3" t="inlineStr">
        <is>
          <t>2019-№5</t>
        </is>
      </c>
      <c r="F43" s="4" t="inlineStr">
        <is>
          <t>act33_investigation.pdf</t>
        </is>
      </c>
    </row>
    <row r="44">
      <c r="A44" s="3" t="n">
        <v>2019</v>
      </c>
      <c r="B44" s="3" t="inlineStr">
        <is>
          <t>ГПА №3</t>
        </is>
      </c>
      <c r="C44" s="3" t="n">
        <v>1</v>
      </c>
      <c r="D44" s="3" t="inlineStr">
        <is>
          <t>18.06.2019</t>
        </is>
      </c>
      <c r="E44" s="3" t="inlineStr">
        <is>
          <t>2019-№5</t>
        </is>
      </c>
      <c r="F44" s="4" t="inlineStr">
        <is>
          <t>act33_investigation.pdf</t>
        </is>
      </c>
    </row>
    <row r="45">
      <c r="A45" s="3" t="n">
        <v>2019</v>
      </c>
      <c r="B45" s="3" t="inlineStr">
        <is>
          <t>ГПА №2</t>
        </is>
      </c>
      <c r="C45" s="3" t="n">
        <v>1</v>
      </c>
      <c r="D45" s="3" t="inlineStr">
        <is>
          <t>21.07.2019</t>
        </is>
      </c>
      <c r="E45" s="3" t="inlineStr">
        <is>
          <t>2019-№6</t>
        </is>
      </c>
      <c r="F45" s="4" t="inlineStr">
        <is>
          <t>act34_investigation.pdf</t>
        </is>
      </c>
    </row>
    <row r="46">
      <c r="A46" s="3" t="n">
        <v>2019</v>
      </c>
      <c r="B46" s="3" t="inlineStr">
        <is>
          <t>ГПА №3</t>
        </is>
      </c>
      <c r="C46" s="3" t="n">
        <v>1</v>
      </c>
      <c r="D46" s="3" t="inlineStr">
        <is>
          <t>21.07.2019</t>
        </is>
      </c>
      <c r="E46" s="3" t="inlineStr">
        <is>
          <t>2019-№6</t>
        </is>
      </c>
      <c r="F46" s="4" t="inlineStr">
        <is>
          <t>act34_investigation.pdf</t>
        </is>
      </c>
    </row>
    <row r="47">
      <c r="A47" s="3" t="n">
        <v>2025</v>
      </c>
      <c r="B47" s="3" t="inlineStr">
        <is>
          <t>ГПА №1</t>
        </is>
      </c>
      <c r="C47" s="3" t="n">
        <v>1</v>
      </c>
      <c r="D47" s="3" t="inlineStr">
        <is>
          <t>25.04.2025</t>
        </is>
      </c>
      <c r="E47" s="3" t="inlineStr">
        <is>
          <t>2025-№1</t>
        </is>
      </c>
      <c r="F47" s="4" t="inlineStr">
        <is>
          <t>kc2_act01_investigation.pdf</t>
        </is>
      </c>
    </row>
    <row r="48">
      <c r="A48" s="3" t="n">
        <v>2025</v>
      </c>
      <c r="B48" s="3" t="inlineStr">
        <is>
          <t>ГПА №1</t>
        </is>
      </c>
      <c r="C48" s="3" t="n">
        <v>1</v>
      </c>
      <c r="D48" s="3" t="inlineStr">
        <is>
          <t>02.07.2025</t>
        </is>
      </c>
      <c r="E48" s="3" t="inlineStr">
        <is>
          <t>2025-№2</t>
        </is>
      </c>
      <c r="F48" s="4" t="inlineStr">
        <is>
          <t>kc2_act02_investigation.pdf</t>
        </is>
      </c>
    </row>
    <row r="49">
      <c r="A49" s="3" t="n">
        <v>2025</v>
      </c>
      <c r="B49" s="3" t="inlineStr">
        <is>
          <t>ГПА №3</t>
        </is>
      </c>
      <c r="C49" s="3" t="n">
        <v>1</v>
      </c>
      <c r="D49" s="3" t="inlineStr">
        <is>
          <t>02.07.2025</t>
        </is>
      </c>
      <c r="E49" s="3" t="inlineStr">
        <is>
          <t>2025-№2</t>
        </is>
      </c>
      <c r="F49" s="4" t="inlineStr">
        <is>
          <t>kc2_act02_investigation.pdf</t>
        </is>
      </c>
    </row>
    <row r="50">
      <c r="A50" s="3" t="n">
        <v>2025</v>
      </c>
      <c r="B50" s="3" t="inlineStr">
        <is>
          <t>ГПА №1</t>
        </is>
      </c>
      <c r="C50" s="3" t="n">
        <v>1</v>
      </c>
      <c r="D50" s="3" t="inlineStr">
        <is>
          <t>12.07.2025</t>
        </is>
      </c>
      <c r="E50" s="3" t="inlineStr">
        <is>
          <t>2025-№3</t>
        </is>
      </c>
      <c r="F50" s="4" t="inlineStr">
        <is>
          <t>kc2_act03_investigation.pdf</t>
        </is>
      </c>
    </row>
    <row r="51">
      <c r="A51" s="3" t="n">
        <v>2025</v>
      </c>
      <c r="B51" s="3" t="inlineStr">
        <is>
          <t>ГПА №2</t>
        </is>
      </c>
      <c r="C51" s="3" t="n">
        <v>1</v>
      </c>
      <c r="D51" s="3" t="inlineStr">
        <is>
          <t>24.07.2025</t>
        </is>
      </c>
      <c r="E51" s="3" t="inlineStr">
        <is>
          <t>2025-№4</t>
        </is>
      </c>
      <c r="F51" s="4" t="inlineStr">
        <is>
          <t>kc2_act04_investigation.pdf</t>
        </is>
      </c>
    </row>
    <row r="52">
      <c r="A52" s="3" t="n">
        <v>2025</v>
      </c>
      <c r="B52" s="3" t="inlineStr">
        <is>
          <t>ГПА №3</t>
        </is>
      </c>
      <c r="C52" s="3" t="n">
        <v>1</v>
      </c>
      <c r="D52" s="3" t="inlineStr">
        <is>
          <t>24.07.2025</t>
        </is>
      </c>
      <c r="E52" s="3" t="inlineStr">
        <is>
          <t>2025-№4</t>
        </is>
      </c>
      <c r="F52" s="4" t="inlineStr">
        <is>
          <t>kc2_act04_investigation.pdf</t>
        </is>
      </c>
    </row>
    <row r="53">
      <c r="A53" s="3" t="n">
        <v>2025</v>
      </c>
      <c r="B53" s="3" t="inlineStr">
        <is>
          <t>ГПА №1</t>
        </is>
      </c>
      <c r="C53" s="3" t="n">
        <v>1</v>
      </c>
      <c r="D53" s="3" t="inlineStr">
        <is>
          <t>03.08.2025</t>
        </is>
      </c>
      <c r="E53" s="3" t="inlineStr">
        <is>
          <t>2025-№5</t>
        </is>
      </c>
      <c r="F53" s="4" t="inlineStr">
        <is>
          <t>kc2_act05_investigation.pdf</t>
        </is>
      </c>
    </row>
    <row r="54">
      <c r="A54" s="3" t="n">
        <v>2025</v>
      </c>
      <c r="B54" s="3" t="inlineStr">
        <is>
          <t>ГПА №3</t>
        </is>
      </c>
      <c r="C54" s="3" t="n">
        <v>1</v>
      </c>
      <c r="D54" s="3" t="inlineStr">
        <is>
          <t>03.08.2025</t>
        </is>
      </c>
      <c r="E54" s="3" t="inlineStr">
        <is>
          <t>2025-№5</t>
        </is>
      </c>
      <c r="F54" s="4" t="inlineStr">
        <is>
          <t>kc2_act05_investigation.pdf</t>
        </is>
      </c>
    </row>
    <row r="55">
      <c r="A55" s="3" t="n">
        <v>2025</v>
      </c>
      <c r="B55" s="3" t="inlineStr">
        <is>
          <t>ГПА №1</t>
        </is>
      </c>
      <c r="C55" s="3" t="n">
        <v>1</v>
      </c>
      <c r="D55" s="3" t="inlineStr">
        <is>
          <t>07.08.2025</t>
        </is>
      </c>
      <c r="E55" s="3" t="inlineStr">
        <is>
          <t>2025-№6</t>
        </is>
      </c>
      <c r="F55" s="4" t="inlineStr">
        <is>
          <t>kc2_act06_investigation.pdf</t>
        </is>
      </c>
    </row>
    <row r="56">
      <c r="A56" s="3" t="n">
        <v>2025</v>
      </c>
      <c r="B56" s="3" t="inlineStr">
        <is>
          <t>ГПА №3</t>
        </is>
      </c>
      <c r="C56" s="3" t="n">
        <v>1</v>
      </c>
      <c r="D56" s="3" t="inlineStr">
        <is>
          <t>08.08.2025</t>
        </is>
      </c>
      <c r="E56" s="3" t="inlineStr">
        <is>
          <t>2025-№7</t>
        </is>
      </c>
      <c r="F56" s="4" t="inlineStr">
        <is>
          <t>kc2_act07_investigation.pdf</t>
        </is>
      </c>
    </row>
    <row r="57">
      <c r="A57" s="3" t="n">
        <v>2025</v>
      </c>
      <c r="B57" s="3" t="inlineStr">
        <is>
          <t>ГПА №3</t>
        </is>
      </c>
      <c r="C57" s="3" t="n">
        <v>1</v>
      </c>
      <c r="D57" s="3" t="inlineStr">
        <is>
          <t>14.09.2025</t>
        </is>
      </c>
      <c r="E57" s="3" t="inlineStr">
        <is>
          <t>2025-№8</t>
        </is>
      </c>
      <c r="F57" s="4" t="inlineStr">
        <is>
          <t>kc2_act08_investigation.pdf</t>
        </is>
      </c>
    </row>
    <row r="58">
      <c r="A58" s="3" t="n">
        <v>2025</v>
      </c>
      <c r="B58" s="3" t="inlineStr">
        <is>
          <t>ГПА №1</t>
        </is>
      </c>
      <c r="C58" s="3" t="n">
        <v>1</v>
      </c>
      <c r="D58" s="3" t="inlineStr">
        <is>
          <t>18.11.2025</t>
        </is>
      </c>
      <c r="E58" s="3" t="inlineStr">
        <is>
          <t>2025-№10</t>
        </is>
      </c>
      <c r="F58" s="4" t="inlineStr">
        <is>
          <t>kc2_act10_investigation.pdf</t>
        </is>
      </c>
    </row>
    <row r="59">
      <c r="A59" s="3" t="n">
        <v>2025</v>
      </c>
      <c r="B59" s="3" t="inlineStr">
        <is>
          <t>ГПА №1</t>
        </is>
      </c>
      <c r="C59" s="3" t="n">
        <v>1</v>
      </c>
      <c r="D59" s="3" t="inlineStr">
        <is>
          <t>19.11.2025</t>
        </is>
      </c>
      <c r="E59" s="3" t="inlineStr">
        <is>
          <t>2025-№10</t>
        </is>
      </c>
      <c r="F59" s="4" t="inlineStr">
        <is>
          <t>kc2_act10_investigation.pdf</t>
        </is>
      </c>
    </row>
    <row r="60">
      <c r="A60" s="3" t="n">
        <v>2025</v>
      </c>
      <c r="B60" s="3" t="inlineStr">
        <is>
          <t>ГПА №3</t>
        </is>
      </c>
      <c r="C60" s="3" t="n">
        <v>1</v>
      </c>
      <c r="D60" s="3" t="inlineStr">
        <is>
          <t>03.02.2025</t>
        </is>
      </c>
      <c r="E60" s="3" t="inlineStr">
        <is>
          <t>2025-№1</t>
        </is>
      </c>
      <c r="F60" s="4" t="inlineStr">
        <is>
          <t>sks2_act01_investigation.pdf</t>
        </is>
      </c>
    </row>
    <row r="61">
      <c r="A61" s="3" t="n">
        <v>2025</v>
      </c>
      <c r="B61" s="3" t="inlineStr">
        <is>
          <t>ГПА №3</t>
        </is>
      </c>
      <c r="C61" s="3" t="n">
        <v>1</v>
      </c>
      <c r="D61" s="3" t="inlineStr">
        <is>
          <t>20.03.2025</t>
        </is>
      </c>
      <c r="E61" s="3" t="inlineStr">
        <is>
          <t>2025-№2</t>
        </is>
      </c>
      <c r="F61" s="4" t="inlineStr">
        <is>
          <t>sks2_act02_investigation.pdf</t>
        </is>
      </c>
    </row>
    <row r="62">
      <c r="A62" s="3" t="n">
        <v>2025</v>
      </c>
      <c r="B62" s="3" t="inlineStr">
        <is>
          <t>ГПА №2</t>
        </is>
      </c>
      <c r="C62" s="3" t="n">
        <v>1</v>
      </c>
      <c r="D62" s="3" t="inlineStr">
        <is>
          <t>24.03.2025</t>
        </is>
      </c>
      <c r="E62" s="3" t="inlineStr">
        <is>
          <t>2025-№3</t>
        </is>
      </c>
      <c r="F62" s="4" t="inlineStr">
        <is>
          <t>sks2_act03_investigation.pdf</t>
        </is>
      </c>
    </row>
    <row r="63">
      <c r="A63" s="3" t="n">
        <v>2025</v>
      </c>
      <c r="B63" s="3" t="inlineStr">
        <is>
          <t>ГПА №2</t>
        </is>
      </c>
      <c r="C63" s="3" t="n">
        <v>1</v>
      </c>
      <c r="D63" s="3" t="inlineStr">
        <is>
          <t>01.04.2025</t>
        </is>
      </c>
      <c r="E63" s="3" t="inlineStr">
        <is>
          <t>2025-№4</t>
        </is>
      </c>
      <c r="F63" s="4" t="inlineStr">
        <is>
          <t>sks2_act04_investigation.pdf</t>
        </is>
      </c>
    </row>
    <row r="64">
      <c r="A64" s="3" t="n">
        <v>2025</v>
      </c>
      <c r="B64" s="3" t="inlineStr">
        <is>
          <t>ГПА №1</t>
        </is>
      </c>
      <c r="C64" s="3" t="n">
        <v>1</v>
      </c>
      <c r="D64" s="3" t="inlineStr">
        <is>
          <t>09.05.2025</t>
        </is>
      </c>
      <c r="E64" s="3" t="inlineStr">
        <is>
          <t>2025-№5</t>
        </is>
      </c>
      <c r="F64" s="4" t="inlineStr">
        <is>
          <t>sks2_act05_investigation.pdf</t>
        </is>
      </c>
    </row>
    <row r="65">
      <c r="A65" s="3" t="n">
        <v>2025</v>
      </c>
      <c r="B65" s="3" t="inlineStr">
        <is>
          <t>ГПА №2</t>
        </is>
      </c>
      <c r="C65" s="3" t="n">
        <v>1</v>
      </c>
      <c r="D65" s="3" t="inlineStr">
        <is>
          <t>09.05.2025</t>
        </is>
      </c>
      <c r="E65" s="3" t="inlineStr">
        <is>
          <t>2025-№5</t>
        </is>
      </c>
      <c r="F65" s="4" t="inlineStr">
        <is>
          <t>sks2_act05_investigation.pdf</t>
        </is>
      </c>
    </row>
    <row r="66">
      <c r="A66" s="3" t="n">
        <v>2025</v>
      </c>
      <c r="B66" s="3" t="inlineStr">
        <is>
          <t>ГПА №2</t>
        </is>
      </c>
      <c r="C66" s="3" t="n">
        <v>1</v>
      </c>
      <c r="D66" s="3" t="inlineStr">
        <is>
          <t>07.09.2025</t>
        </is>
      </c>
      <c r="E66" s="3" t="inlineStr">
        <is>
          <t>2025-№6</t>
        </is>
      </c>
      <c r="F66" s="4" t="inlineStr">
        <is>
          <t>sks2_act06_investigation.pdf</t>
        </is>
      </c>
    </row>
    <row r="67">
      <c r="A67" s="3" t="n">
        <v>2025</v>
      </c>
      <c r="B67" s="3" t="inlineStr">
        <is>
          <t>ГПА №2</t>
        </is>
      </c>
      <c r="C67" s="3" t="n">
        <v>1</v>
      </c>
      <c r="D67" s="3" t="inlineStr">
        <is>
          <t>13.11.2025</t>
        </is>
      </c>
      <c r="E67" s="3" t="inlineStr">
        <is>
          <t>2025-№7</t>
        </is>
      </c>
      <c r="F67" s="4" t="inlineStr">
        <is>
          <t>sks2_act07_investigation.pdf</t>
        </is>
      </c>
    </row>
    <row r="68">
      <c r="A68" s="3" t="n">
        <v>2025</v>
      </c>
      <c r="B68" s="3" t="inlineStr">
        <is>
          <t>ГПА №3</t>
        </is>
      </c>
      <c r="C68" s="3" t="n">
        <v>1</v>
      </c>
      <c r="D68" s="3" t="inlineStr">
        <is>
          <t>13.11.2025</t>
        </is>
      </c>
      <c r="E68" s="3" t="inlineStr">
        <is>
          <t>2025-№7</t>
        </is>
      </c>
      <c r="F68" s="4" t="inlineStr">
        <is>
          <t>sks2_act07_investigation.pdf</t>
        </is>
      </c>
    </row>
    <row r="69">
      <c r="A69" s="3" t="n">
        <v>2024</v>
      </c>
      <c r="B69" s="3" t="inlineStr">
        <is>
          <t>ГПА №3</t>
        </is>
      </c>
      <c r="C69" s="3" t="n">
        <v>1</v>
      </c>
      <c r="D69" s="3" t="inlineStr">
        <is>
          <t>30.09.2024</t>
        </is>
      </c>
      <c r="E69" s="3" t="inlineStr">
        <is>
          <t>2024-№1</t>
        </is>
      </c>
      <c r="F69" s="4" t="inlineStr">
        <is>
          <t>sks2_act08_investigation.pdf</t>
        </is>
      </c>
    </row>
    <row r="70">
      <c r="A70" s="3" t="n">
        <v>2024</v>
      </c>
      <c r="B70" s="3" t="inlineStr">
        <is>
          <t>ГПА №2</t>
        </is>
      </c>
      <c r="C70" s="3" t="n">
        <v>1</v>
      </c>
      <c r="D70" s="3" t="inlineStr">
        <is>
          <t>30.11.2024</t>
        </is>
      </c>
      <c r="E70" s="3" t="inlineStr">
        <is>
          <t>2024-№2</t>
        </is>
      </c>
      <c r="F70" s="4" t="inlineStr">
        <is>
          <t>sks2_act09_investigation.pdf</t>
        </is>
      </c>
    </row>
    <row r="72" ht="28" customHeight="1">
      <c r="A72" s="5" t="inlineStr">
        <is>
          <t>Этот лист формируется автоматически из accidents.json при запуске build.py. Не редактируйте его вручную — правки потеряются при следующей пересборке.</t>
        </is>
      </c>
    </row>
  </sheetData>
  <mergeCells count="2">
    <mergeCell ref="A72:F7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6" customWidth="1" min="1" max="1"/>
    <col width="42" customWidth="1" min="2" max="2"/>
    <col width="12" customWidth="1" min="3" max="3"/>
    <col width="10" customWidth="1" min="4" max="4"/>
    <col width="18" customWidth="1" min="5" max="5"/>
    <col width="14" customWidth="1" min="6" max="6"/>
    <col width="20" customWidth="1" min="7" max="7"/>
    <col width="16" customWidth="1" min="8" max="8"/>
    <col width="11" customWidth="1" min="9" max="9"/>
  </cols>
  <sheetData>
    <row r="1" ht="28" customHeight="1">
      <c r="A1" s="1" t="inlineStr">
        <is>
          <t>ТАБЛИЦА АВАРИЙНЫХ ОСТАНОВОВ ГПА</t>
        </is>
      </c>
    </row>
    <row r="3">
      <c r="A3" s="2" t="inlineStr">
        <is>
          <t>№</t>
        </is>
      </c>
      <c r="B3" s="2" t="inlineStr">
        <is>
          <t>Наименование (тема аварии)</t>
        </is>
      </c>
      <c r="C3" s="2" t="inlineStr">
        <is>
          <t>Дата</t>
        </is>
      </c>
      <c r="D3" s="2" t="inlineStr">
        <is>
          <t>№ акта</t>
        </is>
      </c>
      <c r="E3" s="2" t="inlineStr">
        <is>
          <t>КС</t>
        </is>
      </c>
      <c r="F3" s="2" t="inlineStr">
        <is>
          <t>ГПА</t>
        </is>
      </c>
      <c r="G3" s="2" t="inlineStr">
        <is>
          <t>Модель агрегата</t>
        </is>
      </c>
      <c r="H3" s="2" t="inlineStr">
        <is>
          <t>Источник</t>
        </is>
      </c>
      <c r="I3" s="2" t="inlineStr">
        <is>
          <t>Стр. в PDF</t>
        </is>
      </c>
    </row>
    <row r="4" ht="32" customHeight="1">
      <c r="A4" s="3" t="n">
        <v>1</v>
      </c>
      <c r="B4" s="3" t="inlineStr">
        <is>
          <t>Скачок частоты ГПЭС при переключении, останов ГПА№2 по низкому давлению воздуха</t>
        </is>
      </c>
      <c r="C4" s="3" t="inlineStr">
        <is>
          <t>10.06.2020</t>
        </is>
      </c>
      <c r="D4" s="3" t="inlineStr">
        <is>
          <t>№1</t>
        </is>
      </c>
      <c r="E4" s="3" t="inlineStr">
        <is>
          <t>КС-1 «Алимтау»</t>
        </is>
      </c>
      <c r="F4" s="3" t="inlineStr">
        <is>
          <t>ГПА №2</t>
        </is>
      </c>
      <c r="G4" s="6" t="inlineStr">
        <is>
          <t>—</t>
        </is>
      </c>
      <c r="H4" s="7" t="inlineStr">
        <is>
          <t>Открыть акт (PDF)</t>
        </is>
      </c>
      <c r="I4" s="8" t="n">
        <v>1</v>
      </c>
    </row>
    <row r="5" ht="32" customHeight="1">
      <c r="A5" s="3" t="n">
        <v>2</v>
      </c>
      <c r="B5" s="3" t="inlineStr">
        <is>
          <t>Потеря пламени в камере сгорания при повышении оборотов (режим АВС)</t>
        </is>
      </c>
      <c r="C5" s="3" t="inlineStr">
        <is>
          <t>01.02.2022</t>
        </is>
      </c>
      <c r="D5" s="3" t="inlineStr">
        <is>
          <t>№1</t>
        </is>
      </c>
      <c r="E5" s="3" t="inlineStr">
        <is>
          <t>КС-1 «Алимтау»</t>
        </is>
      </c>
      <c r="F5" s="3" t="inlineStr">
        <is>
          <t>ГПА №3</t>
        </is>
      </c>
      <c r="G5" s="6" t="inlineStr">
        <is>
          <t>—</t>
        </is>
      </c>
      <c r="H5" s="7" t="inlineStr">
        <is>
          <t>Открыть акт (PDF)</t>
        </is>
      </c>
      <c r="I5" s="8" t="n">
        <v>4</v>
      </c>
    </row>
    <row r="6" ht="32" customHeight="1">
      <c r="A6" s="3" t="n">
        <v>3</v>
      </c>
      <c r="B6" s="3" t="inlineStr">
        <is>
          <t>Потеря пламени из-за несоответствия настроек DLE Mapping зимнего режима</t>
        </is>
      </c>
      <c r="C6" s="3" t="inlineStr">
        <is>
          <t>11.03.2022</t>
        </is>
      </c>
      <c r="D6" s="3" t="inlineStr">
        <is>
          <t>№2</t>
        </is>
      </c>
      <c r="E6" s="3" t="inlineStr">
        <is>
          <t>КС-1 «Алимтау»</t>
        </is>
      </c>
      <c r="F6" s="3" t="inlineStr">
        <is>
          <t>ГПА №3</t>
        </is>
      </c>
      <c r="G6" s="6" t="inlineStr">
        <is>
          <t>—</t>
        </is>
      </c>
      <c r="H6" s="7" t="inlineStr">
        <is>
          <t>Открыть акт (PDF)</t>
        </is>
      </c>
      <c r="I6" s="8" t="n">
        <v>8</v>
      </c>
    </row>
    <row r="7" ht="32" customHeight="1">
      <c r="A7" s="3" t="n">
        <v>4</v>
      </c>
      <c r="B7" s="3" t="inlineStr">
        <is>
          <t>Ошибочная активация системы пожаротушения СО2 сменным инженером</t>
        </is>
      </c>
      <c r="C7" s="3" t="inlineStr">
        <is>
          <t>25.04.2022</t>
        </is>
      </c>
      <c r="D7" s="3" t="inlineStr">
        <is>
          <t>№3</t>
        </is>
      </c>
      <c r="E7" s="3" t="inlineStr">
        <is>
          <t>КС-1 «Алимтау»</t>
        </is>
      </c>
      <c r="F7" s="3" t="inlineStr">
        <is>
          <t>ГПА №2</t>
        </is>
      </c>
      <c r="G7" s="6" t="inlineStr">
        <is>
          <t>—</t>
        </is>
      </c>
      <c r="H7" s="7" t="inlineStr">
        <is>
          <t>Открыть акт (PDF)</t>
        </is>
      </c>
      <c r="I7" s="8" t="n">
        <v>13</v>
      </c>
    </row>
    <row r="8" ht="32" customHeight="1">
      <c r="A8" s="3" t="n">
        <v>5</v>
      </c>
      <c r="B8" s="3" t="inlineStr">
        <is>
          <t>Ложное срабатывание сигнала положения свечного крана XV-784</t>
        </is>
      </c>
      <c r="C8" s="3" t="inlineStr">
        <is>
          <t>07.06.2022</t>
        </is>
      </c>
      <c r="D8" s="3" t="inlineStr">
        <is>
          <t>№5</t>
        </is>
      </c>
      <c r="E8" s="3" t="inlineStr">
        <is>
          <t>КС-1 «Алимтау»</t>
        </is>
      </c>
      <c r="F8" s="3" t="inlineStr">
        <is>
          <t>ГПА №2</t>
        </is>
      </c>
      <c r="G8" s="6" t="inlineStr">
        <is>
          <t>—</t>
        </is>
      </c>
      <c r="H8" s="7" t="inlineStr">
        <is>
          <t>Открыть акт (PDF)</t>
        </is>
      </c>
      <c r="I8" s="8" t="n">
        <v>16</v>
      </c>
    </row>
    <row r="9" ht="32" customHeight="1">
      <c r="A9" s="3" t="n">
        <v>6</v>
      </c>
      <c r="B9" s="3" t="inlineStr">
        <is>
          <t>Останов ГПЭС№3 и ГПА№2,3 по давлению масла из-за отсутствия нагрузочного модуля</t>
        </is>
      </c>
      <c r="C9" s="3" t="inlineStr">
        <is>
          <t>11.03.2023</t>
        </is>
      </c>
      <c r="D9" s="3" t="inlineStr">
        <is>
          <t>№1</t>
        </is>
      </c>
      <c r="E9" s="3" t="inlineStr">
        <is>
          <t>КС-1 «Алимтау»</t>
        </is>
      </c>
      <c r="F9" s="3" t="inlineStr">
        <is>
          <t>ГПА №2, ГПА №3</t>
        </is>
      </c>
      <c r="G9" s="6" t="inlineStr">
        <is>
          <t>—</t>
        </is>
      </c>
      <c r="H9" s="7" t="inlineStr">
        <is>
          <t>Открыть акт (PDF)</t>
        </is>
      </c>
      <c r="I9" s="8" t="n">
        <v>19</v>
      </c>
    </row>
    <row r="10" ht="32" customHeight="1">
      <c r="A10" s="3" t="n">
        <v>7</v>
      </c>
      <c r="B10" s="3" t="inlineStr">
        <is>
          <t>Отказ модуля изолятора Railbus (RB6-2), сбой передачи данных датчиков</t>
        </is>
      </c>
      <c r="C10" s="3" t="inlineStr">
        <is>
          <t>14.04.2023</t>
        </is>
      </c>
      <c r="D10" s="3" t="inlineStr">
        <is>
          <t>№2</t>
        </is>
      </c>
      <c r="E10" s="3" t="inlineStr">
        <is>
          <t>КС-1 «Алимтау»</t>
        </is>
      </c>
      <c r="F10" s="3" t="inlineStr">
        <is>
          <t>ГПА №2</t>
        </is>
      </c>
      <c r="G10" s="6" t="inlineStr">
        <is>
          <t>—</t>
        </is>
      </c>
      <c r="H10" s="7" t="inlineStr">
        <is>
          <t>Открыть акт (PDF)</t>
        </is>
      </c>
      <c r="I10" s="8" t="n">
        <v>28</v>
      </c>
    </row>
    <row r="11" ht="32" customHeight="1">
      <c r="A11" s="3" t="n">
        <v>8</v>
      </c>
      <c r="B11" s="3" t="inlineStr">
        <is>
          <t>Ложное срабатывание концевых выключателей свечного крана XV-4204</t>
        </is>
      </c>
      <c r="C11" s="3" t="inlineStr">
        <is>
          <t>06.06.2023</t>
        </is>
      </c>
      <c r="D11" s="3" t="inlineStr">
        <is>
          <t>№5</t>
        </is>
      </c>
      <c r="E11" s="3" t="inlineStr">
        <is>
          <t>КС-1 «Алимтау»</t>
        </is>
      </c>
      <c r="F11" s="3" t="inlineStr">
        <is>
          <t>ГПА №2</t>
        </is>
      </c>
      <c r="G11" s="6" t="inlineStr">
        <is>
          <t>—</t>
        </is>
      </c>
      <c r="H11" s="7" t="inlineStr">
        <is>
          <t>Открыть акт (PDF)</t>
        </is>
      </c>
      <c r="I11" s="8" t="n">
        <v>33</v>
      </c>
    </row>
    <row r="12" ht="32" customHeight="1">
      <c r="A12" s="3" t="n">
        <v>9</v>
      </c>
      <c r="B12" s="3" t="inlineStr">
        <is>
          <t>Некорректная работа модуля RTD датчика температуры TE-147A</t>
        </is>
      </c>
      <c r="C12" s="3" t="inlineStr">
        <is>
          <t>04.03.2024</t>
        </is>
      </c>
      <c r="D12" s="3" t="inlineStr">
        <is>
          <t>№1</t>
        </is>
      </c>
      <c r="E12" s="3" t="inlineStr">
        <is>
          <t>КС-1 «Алимтау»</t>
        </is>
      </c>
      <c r="F12" s="3" t="inlineStr">
        <is>
          <t>ГПА №1</t>
        </is>
      </c>
      <c r="G12" s="6" t="inlineStr">
        <is>
          <t>—</t>
        </is>
      </c>
      <c r="H12" s="7" t="inlineStr">
        <is>
          <t>Открыть акт (PDF)</t>
        </is>
      </c>
      <c r="I12" s="8" t="n">
        <v>36</v>
      </c>
    </row>
    <row r="13" ht="32" customHeight="1">
      <c r="A13" s="3" t="n">
        <v>10</v>
      </c>
      <c r="B13" s="3" t="inlineStr">
        <is>
          <t>Падение давления воздуха из-за неисправности осушительной установки ВК№1</t>
        </is>
      </c>
      <c r="C13" s="3" t="inlineStr">
        <is>
          <t>11.03.2024</t>
        </is>
      </c>
      <c r="D13" s="3" t="inlineStr">
        <is>
          <t>№2</t>
        </is>
      </c>
      <c r="E13" s="3" t="inlineStr">
        <is>
          <t>КС-1 «Алимтау»</t>
        </is>
      </c>
      <c r="F13" s="3" t="inlineStr">
        <is>
          <t>ГПА №1, ГПА №3</t>
        </is>
      </c>
      <c r="G13" s="6" t="inlineStr">
        <is>
          <t>—</t>
        </is>
      </c>
      <c r="H13" s="7" t="inlineStr">
        <is>
          <t>Открыть акт (PDF)</t>
        </is>
      </c>
      <c r="I13" s="8" t="n">
        <v>42</v>
      </c>
    </row>
    <row r="14" ht="32" customHeight="1">
      <c r="A14" s="3" t="n">
        <v>11</v>
      </c>
      <c r="B14" s="3" t="inlineStr">
        <is>
          <t>Ложное срабатывание датчиков загазованности из-за потери связи NTRON 509</t>
        </is>
      </c>
      <c r="C14" s="3" t="inlineStr">
        <is>
          <t>10.05.2024</t>
        </is>
      </c>
      <c r="D14" s="3" t="inlineStr">
        <is>
          <t>№3</t>
        </is>
      </c>
      <c r="E14" s="3" t="inlineStr">
        <is>
          <t>КС-1 «Алимтау»</t>
        </is>
      </c>
      <c r="F14" s="3" t="inlineStr">
        <is>
          <t>ГПА №3</t>
        </is>
      </c>
      <c r="G14" s="6" t="inlineStr">
        <is>
          <t>—</t>
        </is>
      </c>
      <c r="H14" s="7" t="inlineStr">
        <is>
          <t>Открыть акт (PDF)</t>
        </is>
      </c>
      <c r="I14" s="8" t="n">
        <v>45</v>
      </c>
    </row>
    <row r="15" ht="32" customHeight="1">
      <c r="A15" s="3" t="n">
        <v>12</v>
      </c>
      <c r="B15" s="3" t="inlineStr">
        <is>
          <t>Нестабильные обороты ГПЭС№1 из-за отсутствия синхронизации агрегатов</t>
        </is>
      </c>
      <c r="C15" s="3" t="inlineStr">
        <is>
          <t>28.12.2024</t>
        </is>
      </c>
      <c r="D15" s="3" t="inlineStr">
        <is>
          <t>№4</t>
        </is>
      </c>
      <c r="E15" s="3" t="inlineStr">
        <is>
          <t>КС-1 «Алимтау»</t>
        </is>
      </c>
      <c r="F15" s="3" t="inlineStr">
        <is>
          <t>ГПА №1</t>
        </is>
      </c>
      <c r="G15" s="6" t="inlineStr">
        <is>
          <t>—</t>
        </is>
      </c>
      <c r="H15" s="7" t="inlineStr">
        <is>
          <t>Открыть акт (PDF)</t>
        </is>
      </c>
      <c r="I15" s="8" t="n">
        <v>50</v>
      </c>
    </row>
    <row r="16" ht="32" customHeight="1">
      <c r="A16" s="3" t="n">
        <v>13</v>
      </c>
      <c r="B16" s="3" t="inlineStr">
        <is>
          <t>Резкое падение давления топливного газа (возможное закрытие крана MOV7501)</t>
        </is>
      </c>
      <c r="C16" s="3" t="inlineStr">
        <is>
          <t>02.05.2025</t>
        </is>
      </c>
      <c r="D16" s="3" t="inlineStr">
        <is>
          <t>№1</t>
        </is>
      </c>
      <c r="E16" s="3" t="inlineStr">
        <is>
          <t>КС-1 «Алимтау»</t>
        </is>
      </c>
      <c r="F16" s="3" t="inlineStr">
        <is>
          <t>ГПА №1, ГПА №3</t>
        </is>
      </c>
      <c r="G16" s="6" t="inlineStr">
        <is>
          <t>—</t>
        </is>
      </c>
      <c r="H16" s="7" t="inlineStr">
        <is>
          <t>Открыть акт (PDF)</t>
        </is>
      </c>
      <c r="I16" s="8" t="n">
        <v>53</v>
      </c>
    </row>
    <row r="17" ht="32" customHeight="1">
      <c r="A17" s="3" t="n">
        <v>14</v>
      </c>
      <c r="B17" s="3" t="inlineStr">
        <is>
          <t>Повреждение выпускных клапанов цилиндров ГПЭС№3, останов ГПА№1,3</t>
        </is>
      </c>
      <c r="C17" s="3" t="inlineStr">
        <is>
          <t>27.04.2026</t>
        </is>
      </c>
      <c r="D17" s="3" t="inlineStr">
        <is>
          <t>№1</t>
        </is>
      </c>
      <c r="E17" s="3" t="inlineStr">
        <is>
          <t>КС-1 «Алимтау»</t>
        </is>
      </c>
      <c r="F17" s="3" t="inlineStr">
        <is>
          <t>ГПА №1, ГПА №3</t>
        </is>
      </c>
      <c r="G17" s="6" t="inlineStr">
        <is>
          <t>—</t>
        </is>
      </c>
      <c r="H17" s="7" t="inlineStr">
        <is>
          <t>Открыть акт (PDF)</t>
        </is>
      </c>
      <c r="I17" s="8" t="n">
        <v>59</v>
      </c>
    </row>
    <row r="18" ht="32" customHeight="1">
      <c r="A18" s="3" t="n">
        <v>15</v>
      </c>
      <c r="B18" s="3" t="inlineStr">
        <is>
          <t>Утечка синтетического масла через клапан CDP (Bleed Valve), ВНО ГПА№2</t>
        </is>
      </c>
      <c r="C18" s="3" t="inlineStr">
        <is>
          <t>01.06.2023</t>
        </is>
      </c>
      <c r="D18" s="3" t="inlineStr">
        <is>
          <t>№4</t>
        </is>
      </c>
      <c r="E18" s="3" t="inlineStr">
        <is>
          <t>КС-1 «Алимтау»</t>
        </is>
      </c>
      <c r="F18" s="3" t="inlineStr">
        <is>
          <t>ГПА №2</t>
        </is>
      </c>
      <c r="G18" s="6" t="inlineStr">
        <is>
          <t>—</t>
        </is>
      </c>
      <c r="H18" s="7" t="inlineStr">
        <is>
          <t>Открыть акт (PDF)</t>
        </is>
      </c>
      <c r="I18" s="8" t="n">
        <v>64</v>
      </c>
    </row>
    <row r="19" ht="32" customHeight="1">
      <c r="A19" s="3" t="n">
        <v>16</v>
      </c>
      <c r="B19" s="3" t="inlineStr">
        <is>
          <t>Автоматический останов ГПА№1 из-за некорректной работы позиционера клапана XV 222</t>
        </is>
      </c>
      <c r="C19" s="3" t="inlineStr">
        <is>
          <t>07.03.2018</t>
        </is>
      </c>
      <c r="D19" s="3" t="inlineStr">
        <is>
          <t>№3</t>
        </is>
      </c>
      <c r="E19" s="3" t="inlineStr">
        <is>
          <t>КС-1 «Алимтау»</t>
        </is>
      </c>
      <c r="F19" s="3" t="inlineStr">
        <is>
          <t>ГПА №1</t>
        </is>
      </c>
      <c r="G19" s="6" t="inlineStr">
        <is>
          <t>—</t>
        </is>
      </c>
      <c r="H19" s="7" t="inlineStr">
        <is>
          <t>Открыть акт (PDF)</t>
        </is>
      </c>
      <c r="I19" s="8" t="n">
        <v>65</v>
      </c>
    </row>
    <row r="20" ht="32" customHeight="1">
      <c r="A20" s="3" t="n">
        <v>17</v>
      </c>
      <c r="B20" s="3" t="inlineStr">
        <is>
          <t>Автоматический останов ГПА№1,2 из-за отключения автомата шкафа управления АВО антифриза</t>
        </is>
      </c>
      <c r="C20" s="3" t="inlineStr">
        <is>
          <t>30.03.2018</t>
        </is>
      </c>
      <c r="D20" s="3" t="inlineStr">
        <is>
          <t>№4</t>
        </is>
      </c>
      <c r="E20" s="3" t="inlineStr">
        <is>
          <t>КС-1 «Алимтау»</t>
        </is>
      </c>
      <c r="F20" s="3" t="inlineStr">
        <is>
          <t>ГПА №1, ГПА №2</t>
        </is>
      </c>
      <c r="G20" s="6" t="inlineStr">
        <is>
          <t>—</t>
        </is>
      </c>
      <c r="H20" s="7" t="inlineStr">
        <is>
          <t>Открыть акт (PDF)</t>
        </is>
      </c>
      <c r="I20" s="8" t="n">
        <v>66</v>
      </c>
    </row>
    <row r="21" ht="32" customHeight="1">
      <c r="A21" s="3" t="n">
        <v>18</v>
      </c>
      <c r="B21" s="3" t="inlineStr">
        <is>
          <t>Вынужденный нормальный останов ГПА№3 из-за некорректного отображения обратной связи по клапану FCV-780 (Hot bypass)</t>
        </is>
      </c>
      <c r="C21" s="3" t="inlineStr">
        <is>
          <t>24.05.2018</t>
        </is>
      </c>
      <c r="D21" s="3" t="inlineStr">
        <is>
          <t>№6</t>
        </is>
      </c>
      <c r="E21" s="3" t="inlineStr">
        <is>
          <t>КС-1 «Алимтау»</t>
        </is>
      </c>
      <c r="F21" s="3" t="inlineStr">
        <is>
          <t>ГПА №3</t>
        </is>
      </c>
      <c r="G21" s="6" t="inlineStr">
        <is>
          <t>—</t>
        </is>
      </c>
      <c r="H21" s="7" t="inlineStr">
        <is>
          <t>Открыть акт (PDF)</t>
        </is>
      </c>
      <c r="I21" s="8" t="n">
        <v>67</v>
      </c>
    </row>
    <row r="22" ht="32" customHeight="1">
      <c r="A22" s="3" t="n">
        <v>19</v>
      </c>
      <c r="B22" s="3" t="inlineStr">
        <is>
          <t>Вынужденный нормальный останов ГПА№2 из-за отказа датчика температуры подшипника TE 403-1</t>
        </is>
      </c>
      <c r="C22" s="3" t="inlineStr">
        <is>
          <t>28.05.2018</t>
        </is>
      </c>
      <c r="D22" s="3" t="inlineStr">
        <is>
          <t>№7</t>
        </is>
      </c>
      <c r="E22" s="3" t="inlineStr">
        <is>
          <t>КС-1 «Алимтау»</t>
        </is>
      </c>
      <c r="F22" s="3" t="inlineStr">
        <is>
          <t>ГПА №2</t>
        </is>
      </c>
      <c r="G22" s="6" t="inlineStr">
        <is>
          <t>—</t>
        </is>
      </c>
      <c r="H22" s="7" t="inlineStr">
        <is>
          <t>Открыть акт (PDF)</t>
        </is>
      </c>
      <c r="I22" s="8" t="n">
        <v>68</v>
      </c>
    </row>
    <row r="23" ht="32" customHeight="1">
      <c r="A23" s="3" t="n">
        <v>20</v>
      </c>
      <c r="B23" s="3" t="inlineStr">
        <is>
          <t>Вынужденный нормальный останов ГПА№2 из-за отказа датчика температуры подшипника TE 401-1</t>
        </is>
      </c>
      <c r="C23" s="3" t="inlineStr">
        <is>
          <t>03.02.2018</t>
        </is>
      </c>
      <c r="D23" s="3" t="inlineStr">
        <is>
          <t>№1</t>
        </is>
      </c>
      <c r="E23" s="3" t="inlineStr">
        <is>
          <t>КС-1 «Алимтау»</t>
        </is>
      </c>
      <c r="F23" s="3" t="inlineStr">
        <is>
          <t>ГПА №2</t>
        </is>
      </c>
      <c r="G23" s="6" t="inlineStr">
        <is>
          <t>—</t>
        </is>
      </c>
      <c r="H23" s="7" t="inlineStr">
        <is>
          <t>Открыть акт (PDF)</t>
        </is>
      </c>
      <c r="I23" s="8" t="n">
        <v>69</v>
      </c>
    </row>
    <row r="24" ht="32" customHeight="1">
      <c r="A24" s="3" t="n">
        <v>21</v>
      </c>
      <c r="B24" s="3" t="inlineStr">
        <is>
          <t>Автоматический останов ГПА№1,3 из-за отказа датчика температуры охлаждающей жидкости ГПЭС№3</t>
        </is>
      </c>
      <c r="C24" s="3" t="inlineStr">
        <is>
          <t>21.02.2018</t>
        </is>
      </c>
      <c r="D24" s="3" t="inlineStr">
        <is>
          <t>№2</t>
        </is>
      </c>
      <c r="E24" s="3" t="inlineStr">
        <is>
          <t>КС-1 «Алимтау»</t>
        </is>
      </c>
      <c r="F24" s="3" t="inlineStr">
        <is>
          <t>ГПА №1, ГПА №3</t>
        </is>
      </c>
      <c r="G24" s="6" t="inlineStr">
        <is>
          <t>—</t>
        </is>
      </c>
      <c r="H24" s="7" t="inlineStr">
        <is>
          <t>Открыть акт (PDF)</t>
        </is>
      </c>
      <c r="I24" s="8" t="n">
        <v>70</v>
      </c>
    </row>
    <row r="25" ht="32" customHeight="1">
      <c r="A25" s="3" t="n">
        <v>22</v>
      </c>
      <c r="B25" s="3" t="inlineStr">
        <is>
          <t>Вынужденный нормальный останов ГПА№1 из-за высоких показаний датчика вибрации газогенератора VT-457</t>
        </is>
      </c>
      <c r="C25" s="3" t="inlineStr">
        <is>
          <t>30.03.2018</t>
        </is>
      </c>
      <c r="D25" s="3" t="inlineStr">
        <is>
          <t>№5</t>
        </is>
      </c>
      <c r="E25" s="3" t="inlineStr">
        <is>
          <t>КС-1 «Алимтау»</t>
        </is>
      </c>
      <c r="F25" s="3" t="inlineStr">
        <is>
          <t>ГПА №1</t>
        </is>
      </c>
      <c r="G25" s="6" t="inlineStr">
        <is>
          <t>—</t>
        </is>
      </c>
      <c r="H25" s="7" t="inlineStr">
        <is>
          <t>Открыть акт (PDF)</t>
        </is>
      </c>
      <c r="I25" s="8" t="n">
        <v>71</v>
      </c>
    </row>
    <row r="26" ht="32" customHeight="1">
      <c r="A26" s="3" t="n">
        <v>23</v>
      </c>
      <c r="B26" s="3" t="inlineStr">
        <is>
          <t>Автоматический останов ГПА№1,3 из-за отказа микропроцессора вводного автомата К51-PR122/P ГПЭС№3</t>
        </is>
      </c>
      <c r="C26" s="3" t="inlineStr">
        <is>
          <t>25.06.2018</t>
        </is>
      </c>
      <c r="D26" s="3" t="inlineStr">
        <is>
          <t>№8</t>
        </is>
      </c>
      <c r="E26" s="3" t="inlineStr">
        <is>
          <t>КС-1 «Алимтау»</t>
        </is>
      </c>
      <c r="F26" s="3" t="inlineStr">
        <is>
          <t>ГПА №1, ГПА №3</t>
        </is>
      </c>
      <c r="G26" s="6" t="inlineStr">
        <is>
          <t>—</t>
        </is>
      </c>
      <c r="H26" s="7" t="inlineStr">
        <is>
          <t>Открыть акт (PDF)</t>
        </is>
      </c>
      <c r="I26" s="8" t="n">
        <v>72</v>
      </c>
    </row>
    <row r="27" ht="32" customHeight="1">
      <c r="A27" s="3" t="n">
        <v>24</v>
      </c>
      <c r="B27" s="3" t="inlineStr">
        <is>
          <t>Автоматический останов ГПА№1,2 из-за ослабления контакта предохранителя CDVR ГПЭС№1</t>
        </is>
      </c>
      <c r="C27" s="3" t="inlineStr">
        <is>
          <t>26.06.2018</t>
        </is>
      </c>
      <c r="D27" s="3" t="inlineStr">
        <is>
          <t>№9</t>
        </is>
      </c>
      <c r="E27" s="3" t="inlineStr">
        <is>
          <t>КС-1 «Алимтау»</t>
        </is>
      </c>
      <c r="F27" s="3" t="inlineStr">
        <is>
          <t>ГПА №1, ГПА №2</t>
        </is>
      </c>
      <c r="G27" s="6" t="inlineStr">
        <is>
          <t>—</t>
        </is>
      </c>
      <c r="H27" s="7" t="inlineStr">
        <is>
          <t>Открыть акт (PDF)</t>
        </is>
      </c>
      <c r="I27" s="8" t="n">
        <v>73</v>
      </c>
    </row>
    <row r="28" ht="32" customHeight="1">
      <c r="A28" s="3" t="n">
        <v>25</v>
      </c>
      <c r="B28" s="3" t="inlineStr">
        <is>
          <t>Вынужденный нормальный останов ГПА№3 из-за кратковременной потери показаний модуля ввода/вывода MTL8000 UCP-1</t>
        </is>
      </c>
      <c r="C28" s="3" t="inlineStr">
        <is>
          <t>31.03.2019</t>
        </is>
      </c>
      <c r="D28" s="3" t="inlineStr">
        <is>
          <t>№1</t>
        </is>
      </c>
      <c r="E28" s="3" t="inlineStr">
        <is>
          <t>КС-1 «Алимтау»</t>
        </is>
      </c>
      <c r="F28" s="3" t="inlineStr">
        <is>
          <t>ГПА №3</t>
        </is>
      </c>
      <c r="G28" s="6" t="inlineStr">
        <is>
          <t>—</t>
        </is>
      </c>
      <c r="H28" s="7" t="inlineStr">
        <is>
          <t>Открыть акт (PDF)</t>
        </is>
      </c>
      <c r="I28" s="8" t="n">
        <v>74</v>
      </c>
    </row>
    <row r="29" ht="32" customHeight="1">
      <c r="A29" s="3" t="n">
        <v>26</v>
      </c>
      <c r="B29" s="3" t="inlineStr">
        <is>
          <t>Останов ГПА№1,2,3 вследствие выхода из строя ИБП№1 и каскадного срабатывания защит станции</t>
        </is>
      </c>
      <c r="C29" s="3" t="inlineStr">
        <is>
          <t>13.04.2019</t>
        </is>
      </c>
      <c r="D29" s="3" t="inlineStr">
        <is>
          <t>№2</t>
        </is>
      </c>
      <c r="E29" s="3" t="inlineStr">
        <is>
          <t>КС-1 «Алимтау»</t>
        </is>
      </c>
      <c r="F29" s="3" t="inlineStr">
        <is>
          <t>ГПА №1, ГПА №2, ГПА №3</t>
        </is>
      </c>
      <c r="G29" s="6" t="inlineStr">
        <is>
          <t>—</t>
        </is>
      </c>
      <c r="H29" s="7" t="inlineStr">
        <is>
          <t>Открыть акт (PDF)</t>
        </is>
      </c>
      <c r="I29" s="8" t="n">
        <v>75</v>
      </c>
    </row>
    <row r="30" ht="32" customHeight="1">
      <c r="A30" s="3" t="n">
        <v>27</v>
      </c>
      <c r="B30" s="3" t="inlineStr">
        <is>
          <t>Автоматический останов ГПА№1,2 из-за ошибки персонала при переключении ГПЭС№2 на ГПЭС№3</t>
        </is>
      </c>
      <c r="C30" s="3" t="inlineStr">
        <is>
          <t>20.04.2019</t>
        </is>
      </c>
      <c r="D30" s="3" t="inlineStr">
        <is>
          <t>№3</t>
        </is>
      </c>
      <c r="E30" s="3" t="inlineStr">
        <is>
          <t>КС-1 «Алимтау»</t>
        </is>
      </c>
      <c r="F30" s="3" t="inlineStr">
        <is>
          <t>ГПА №1, ГПА №2</t>
        </is>
      </c>
      <c r="G30" s="6" t="inlineStr">
        <is>
          <t>—</t>
        </is>
      </c>
      <c r="H30" s="7" t="inlineStr">
        <is>
          <t>Открыть акт (PDF)</t>
        </is>
      </c>
      <c r="I30" s="8" t="n">
        <v>76</v>
      </c>
    </row>
    <row r="31" ht="32" customHeight="1">
      <c r="A31" s="3" t="n">
        <v>28</v>
      </c>
      <c r="B31" s="3" t="inlineStr">
        <is>
          <t>Автоматический останов ГПА№3 из-за потери связи между Mark VIe и контроллером системы пожаротушения HIMatrix</t>
        </is>
      </c>
      <c r="C31" s="3" t="inlineStr">
        <is>
          <t>08.05.2019</t>
        </is>
      </c>
      <c r="D31" s="3" t="inlineStr">
        <is>
          <t>№4</t>
        </is>
      </c>
      <c r="E31" s="3" t="inlineStr">
        <is>
          <t>КС-1 «Алимтау»</t>
        </is>
      </c>
      <c r="F31" s="3" t="inlineStr">
        <is>
          <t>ГПА №3</t>
        </is>
      </c>
      <c r="G31" s="6" t="inlineStr">
        <is>
          <t>—</t>
        </is>
      </c>
      <c r="H31" s="7" t="inlineStr">
        <is>
          <t>Открыть акт (PDF)</t>
        </is>
      </c>
      <c r="I31" s="8" t="n">
        <v>77</v>
      </c>
    </row>
    <row r="32" ht="32" customHeight="1">
      <c r="A32" s="3" t="n">
        <v>29</v>
      </c>
      <c r="B32" s="3" t="inlineStr">
        <is>
          <t>Вынужденный нормальный останов ГПА№1,3 из-за повторного отказа ИБП№1 и потери управления станцией</t>
        </is>
      </c>
      <c r="C32" s="3" t="inlineStr">
        <is>
          <t>18.06.2019</t>
        </is>
      </c>
      <c r="D32" s="3" t="inlineStr">
        <is>
          <t>№5</t>
        </is>
      </c>
      <c r="E32" s="3" t="inlineStr">
        <is>
          <t>КС-1 «Алимтау»</t>
        </is>
      </c>
      <c r="F32" s="3" t="inlineStr">
        <is>
          <t>ГПА №1, ГПА №3</t>
        </is>
      </c>
      <c r="G32" s="6" t="inlineStr">
        <is>
          <t>—</t>
        </is>
      </c>
      <c r="H32" s="7" t="inlineStr">
        <is>
          <t>Открыть акт (PDF)</t>
        </is>
      </c>
      <c r="I32" s="8" t="n">
        <v>78</v>
      </c>
    </row>
    <row r="33" ht="32" customHeight="1">
      <c r="A33" s="3" t="n">
        <v>30</v>
      </c>
      <c r="B33" s="3" t="inlineStr">
        <is>
          <t>Автоматический останов ГПА№2,3 из-за короткого замыкания самодельного нагрузочного модуля НУ-640 на ГПЭС№2</t>
        </is>
      </c>
      <c r="C33" s="3" t="inlineStr">
        <is>
          <t>21.07.2019</t>
        </is>
      </c>
      <c r="D33" s="3" t="inlineStr">
        <is>
          <t>№6</t>
        </is>
      </c>
      <c r="E33" s="3" t="inlineStr">
        <is>
          <t>КС-1 «Алимтау»</t>
        </is>
      </c>
      <c r="F33" s="3" t="inlineStr">
        <is>
          <t>ГПА №2, ГПА №3</t>
        </is>
      </c>
      <c r="G33" s="6" t="inlineStr">
        <is>
          <t>—</t>
        </is>
      </c>
      <c r="H33" s="7" t="inlineStr">
        <is>
          <t>Открыть акт (PDF)</t>
        </is>
      </c>
      <c r="I33" s="8" t="n">
        <v>79</v>
      </c>
    </row>
    <row r="34" ht="32" customHeight="1">
      <c r="A34" s="3" t="n">
        <v>31</v>
      </c>
      <c r="B34" s="3" t="inlineStr">
        <is>
          <t>Автоматический останов ГПА№1 из-за потери связи контроллера ECS с MOOG DS2000XP</t>
        </is>
      </c>
      <c r="C34" s="3" t="inlineStr">
        <is>
          <t>25.04.2025</t>
        </is>
      </c>
      <c r="D34" s="3" t="inlineStr">
        <is>
          <t>№1</t>
        </is>
      </c>
      <c r="E34" s="3" t="inlineStr">
        <is>
          <t>КС-2 «Кереит»</t>
        </is>
      </c>
      <c r="F34" s="3" t="inlineStr">
        <is>
          <t>ГПА №1</t>
        </is>
      </c>
      <c r="G34" s="6" t="inlineStr">
        <is>
          <t>—</t>
        </is>
      </c>
      <c r="H34" s="7" t="inlineStr">
        <is>
          <t>Открыть акт (PDF)</t>
        </is>
      </c>
      <c r="I34" s="8" t="n">
        <v>80</v>
      </c>
    </row>
    <row r="35" ht="32" customHeight="1">
      <c r="A35" s="3" t="n">
        <v>32</v>
      </c>
      <c r="B35" s="3" t="inlineStr">
        <is>
          <t>Останов ГПА№1,3 из-за автоматического останова ГПЭС№1 (детонация цилиндра №2)</t>
        </is>
      </c>
      <c r="C35" s="3" t="inlineStr">
        <is>
          <t>02.07.2025</t>
        </is>
      </c>
      <c r="D35" s="3" t="inlineStr">
        <is>
          <t>№2</t>
        </is>
      </c>
      <c r="E35" s="3" t="inlineStr">
        <is>
          <t>КС-2 «Кереит»</t>
        </is>
      </c>
      <c r="F35" s="3" t="inlineStr">
        <is>
          <t>ГПА №1, ГПА №3</t>
        </is>
      </c>
      <c r="G35" s="6" t="inlineStr">
        <is>
          <t>—</t>
        </is>
      </c>
      <c r="H35" s="7" t="inlineStr">
        <is>
          <t>Открыть акт (PDF)</t>
        </is>
      </c>
      <c r="I35" s="8" t="n">
        <v>81</v>
      </c>
    </row>
    <row r="36" ht="32" customHeight="1">
      <c r="A36" s="3" t="n">
        <v>33</v>
      </c>
      <c r="B36" s="3" t="inlineStr">
        <is>
          <t>Автоматический останов ГПА№1 по сигналу Central Metering Valve Failure Shutdown (модернизированный контроллер HC-DRIVER)</t>
        </is>
      </c>
      <c r="C36" s="3" t="inlineStr">
        <is>
          <t>12.07.2025</t>
        </is>
      </c>
      <c r="D36" s="3" t="inlineStr">
        <is>
          <t>№3</t>
        </is>
      </c>
      <c r="E36" s="3" t="inlineStr">
        <is>
          <t>КС-2 «Кереит»</t>
        </is>
      </c>
      <c r="F36" s="3" t="inlineStr">
        <is>
          <t>ГПА №1</t>
        </is>
      </c>
      <c r="G36" s="6" t="inlineStr">
        <is>
          <t>—</t>
        </is>
      </c>
      <c r="H36" s="7" t="inlineStr">
        <is>
          <t>Открыть акт (PDF)</t>
        </is>
      </c>
      <c r="I36" s="8" t="n">
        <v>82</v>
      </c>
    </row>
    <row r="37" ht="32" customHeight="1">
      <c r="A37" s="3" t="n">
        <v>34</v>
      </c>
      <c r="B37" s="3" t="inlineStr">
        <is>
          <t>Останов ГПА№2,3 из-за автоматического останова ГПЭС№3 (неисправность модуля управления электроникой CAT 348-2392)</t>
        </is>
      </c>
      <c r="C37" s="3" t="inlineStr">
        <is>
          <t>24.07.2025</t>
        </is>
      </c>
      <c r="D37" s="3" t="inlineStr">
        <is>
          <t>№4</t>
        </is>
      </c>
      <c r="E37" s="3" t="inlineStr">
        <is>
          <t>КС-2 «Кереит»</t>
        </is>
      </c>
      <c r="F37" s="3" t="inlineStr">
        <is>
          <t>ГПА №2, ГПА №3</t>
        </is>
      </c>
      <c r="G37" s="6" t="inlineStr">
        <is>
          <t>—</t>
        </is>
      </c>
      <c r="H37" s="7" t="inlineStr">
        <is>
          <t>Открыть акт (PDF)</t>
        </is>
      </c>
      <c r="I37" s="8" t="n">
        <v>83</v>
      </c>
    </row>
    <row r="38" ht="32" customHeight="1">
      <c r="A38" s="3" t="n">
        <v>35</v>
      </c>
      <c r="B38" s="3" t="inlineStr">
        <is>
          <t>Останов ГПА№1,3 из-за автоматического останова ГПЭС№2 (детонация цилиндра №1)</t>
        </is>
      </c>
      <c r="C38" s="3" t="inlineStr">
        <is>
          <t>03.08.2025</t>
        </is>
      </c>
      <c r="D38" s="3" t="inlineStr">
        <is>
          <t>№5</t>
        </is>
      </c>
      <c r="E38" s="3" t="inlineStr">
        <is>
          <t>КС-2 «Кереит»</t>
        </is>
      </c>
      <c r="F38" s="3" t="inlineStr">
        <is>
          <t>ГПА №1, ГПА №3</t>
        </is>
      </c>
      <c r="G38" s="6" t="inlineStr">
        <is>
          <t>—</t>
        </is>
      </c>
      <c r="H38" s="7" t="inlineStr">
        <is>
          <t>Открыть акт (PDF)</t>
        </is>
      </c>
      <c r="I38" s="8" t="n">
        <v>84</v>
      </c>
    </row>
    <row r="39" ht="32" customHeight="1">
      <c r="A39" s="3" t="n">
        <v>36</v>
      </c>
      <c r="B39" s="3" t="inlineStr">
        <is>
          <t>Автоматический останов ГПА№1 по сигналу Secondary Metering Valve Failure Shutdown (неисправность контроллера HC-Drive Secondary)</t>
        </is>
      </c>
      <c r="C39" s="3" t="inlineStr">
        <is>
          <t>07.08.2025</t>
        </is>
      </c>
      <c r="D39" s="3" t="inlineStr">
        <is>
          <t>№6</t>
        </is>
      </c>
      <c r="E39" s="3" t="inlineStr">
        <is>
          <t>КС-2 «Кереит»</t>
        </is>
      </c>
      <c r="F39" s="3" t="inlineStr">
        <is>
          <t>ГПА №1</t>
        </is>
      </c>
      <c r="G39" s="6" t="inlineStr">
        <is>
          <t>—</t>
        </is>
      </c>
      <c r="H39" s="7" t="inlineStr">
        <is>
          <t>Открыть акт (PDF)</t>
        </is>
      </c>
      <c r="I39" s="8" t="n">
        <v>85</v>
      </c>
    </row>
    <row r="40" ht="32" customHeight="1">
      <c r="A40" s="3" t="n">
        <v>37</v>
      </c>
      <c r="B40" s="3" t="inlineStr">
        <is>
          <t>Автоматический останов ГПА№3 из-за активации кнопки ESD-3 сотрудниками подрядной организации на УЗПОУ-2</t>
        </is>
      </c>
      <c r="C40" s="3" t="inlineStr">
        <is>
          <t>08.08.2025</t>
        </is>
      </c>
      <c r="D40" s="3" t="inlineStr">
        <is>
          <t>№7</t>
        </is>
      </c>
      <c r="E40" s="3" t="inlineStr">
        <is>
          <t>КС-2 «Кереит»</t>
        </is>
      </c>
      <c r="F40" s="3" t="inlineStr">
        <is>
          <t>ГПА №3</t>
        </is>
      </c>
      <c r="G40" s="6" t="inlineStr">
        <is>
          <t>—</t>
        </is>
      </c>
      <c r="H40" s="7" t="inlineStr">
        <is>
          <t>Открыть акт (PDF)</t>
        </is>
      </c>
      <c r="I40" s="8" t="n">
        <v>86</v>
      </c>
    </row>
    <row r="41" ht="32" customHeight="1">
      <c r="A41" s="3" t="n">
        <v>38</v>
      </c>
      <c r="B41" s="3" t="inlineStr">
        <is>
          <t>Вынужденный нормальный останов ГПА№3 из-за превышения температуры газа при переключении с ГПА№1</t>
        </is>
      </c>
      <c r="C41" s="3" t="inlineStr">
        <is>
          <t>14.09.2025</t>
        </is>
      </c>
      <c r="D41" s="3" t="inlineStr">
        <is>
          <t>№8</t>
        </is>
      </c>
      <c r="E41" s="3" t="inlineStr">
        <is>
          <t>КС-2 «Кереит»</t>
        </is>
      </c>
      <c r="F41" s="3" t="inlineStr">
        <is>
          <t>ГПА №3</t>
        </is>
      </c>
      <c r="G41" s="6" t="inlineStr">
        <is>
          <t>—</t>
        </is>
      </c>
      <c r="H41" s="7" t="inlineStr">
        <is>
          <t>Открыть акт (PDF)</t>
        </is>
      </c>
      <c r="I41" s="8" t="n">
        <v>87</v>
      </c>
    </row>
    <row r="42" ht="32" customHeight="1">
      <c r="A42" s="3" t="n">
        <v>39</v>
      </c>
      <c r="B42" s="3" t="inlineStr">
        <is>
          <t>Автоматический останов ГПА№1 без стравливания контура из-за потери статуса положения крана MOV-4101 (1-й случай, повторился 19.11.2025)</t>
        </is>
      </c>
      <c r="C42" s="3" t="inlineStr">
        <is>
          <t>18.11.2025</t>
        </is>
      </c>
      <c r="D42" s="3" t="inlineStr">
        <is>
          <t>№10</t>
        </is>
      </c>
      <c r="E42" s="3" t="inlineStr">
        <is>
          <t>КС-2 «Кереит»</t>
        </is>
      </c>
      <c r="F42" s="3" t="inlineStr">
        <is>
          <t>ГПА №1</t>
        </is>
      </c>
      <c r="G42" s="6" t="inlineStr">
        <is>
          <t>—</t>
        </is>
      </c>
      <c r="H42" s="7" t="inlineStr">
        <is>
          <t>Открыть акт (PDF)</t>
        </is>
      </c>
      <c r="I42" s="8" t="n">
        <v>89</v>
      </c>
    </row>
    <row r="43" ht="32" customHeight="1">
      <c r="A43" s="3" t="n">
        <v>40</v>
      </c>
      <c r="B43" s="3" t="inlineStr">
        <is>
          <t>Повторный автоматический останов ГПА№1 без стравливания контура из-за потери статуса положения крана MOV-4101 (2-й случай)</t>
        </is>
      </c>
      <c r="C43" s="3" t="inlineStr">
        <is>
          <t>19.11.2025</t>
        </is>
      </c>
      <c r="D43" s="3" t="inlineStr">
        <is>
          <t>№10</t>
        </is>
      </c>
      <c r="E43" s="3" t="inlineStr">
        <is>
          <t>КС-2 «Кереит»</t>
        </is>
      </c>
      <c r="F43" s="3" t="inlineStr">
        <is>
          <t>ГПА №1</t>
        </is>
      </c>
      <c r="G43" s="6" t="inlineStr">
        <is>
          <t>—</t>
        </is>
      </c>
      <c r="H43" s="7" t="inlineStr">
        <is>
          <t>Открыть акт (PDF)</t>
        </is>
      </c>
      <c r="I43" s="8" t="n">
        <v>89</v>
      </c>
    </row>
    <row r="44" ht="32" customHeight="1">
      <c r="A44" s="3" t="n">
        <v>41</v>
      </c>
      <c r="B44" s="3" t="inlineStr">
        <is>
          <t>Автоматический останов ГПА№3 из-за автоматического останова ГПЭС№4 (ошибка №1452 «Ошибка положения автомата защиты ГУ»)</t>
        </is>
      </c>
      <c r="C44" s="3" t="inlineStr">
        <is>
          <t>03.02.2025</t>
        </is>
      </c>
      <c r="D44" s="3" t="inlineStr">
        <is>
          <t>№1</t>
        </is>
      </c>
      <c r="E44" s="3" t="inlineStr">
        <is>
          <t>СКС-2 «Аксу»</t>
        </is>
      </c>
      <c r="F44" s="3" t="inlineStr">
        <is>
          <t>ГПА №3</t>
        </is>
      </c>
      <c r="G44" s="6" t="inlineStr">
        <is>
          <t>—</t>
        </is>
      </c>
      <c r="H44" s="7" t="inlineStr">
        <is>
          <t>Открыть акт (PDF)</t>
        </is>
      </c>
      <c r="I44" s="8" t="n">
        <v>90</v>
      </c>
    </row>
    <row r="45" ht="32" customHeight="1">
      <c r="A45" s="3" t="n">
        <v>42</v>
      </c>
      <c r="B45" s="3" t="inlineStr">
        <is>
          <t>Автоматический останов ГПА№3 из-за автоматического останова ГПЭС№4 (ошибка №2489 «Перепад температуры выхлопных газов цилиндра №11 (А6)»)</t>
        </is>
      </c>
      <c r="C45" s="3" t="inlineStr">
        <is>
          <t>20.03.2025</t>
        </is>
      </c>
      <c r="D45" s="3" t="inlineStr">
        <is>
          <t>№2</t>
        </is>
      </c>
      <c r="E45" s="3" t="inlineStr">
        <is>
          <t>СКС-2 «Аксу»</t>
        </is>
      </c>
      <c r="F45" s="3" t="inlineStr">
        <is>
          <t>ГПА №3</t>
        </is>
      </c>
      <c r="G45" s="6" t="inlineStr">
        <is>
          <t>—</t>
        </is>
      </c>
      <c r="H45" s="7" t="inlineStr">
        <is>
          <t>Открыть акт (PDF)</t>
        </is>
      </c>
      <c r="I45" s="8" t="n">
        <v>91</v>
      </c>
    </row>
    <row r="46" ht="32" customHeight="1">
      <c r="A46" s="3" t="n">
        <v>43</v>
      </c>
      <c r="B46" s="3" t="inlineStr">
        <is>
          <t>Автоматический останов ГПА№2 из-за ложного сигнала «Подтверждённый пожар в Цеху №3» при тестировании детекторов пламени подрядчиком</t>
        </is>
      </c>
      <c r="C46" s="3" t="inlineStr">
        <is>
          <t>24.03.2025</t>
        </is>
      </c>
      <c r="D46" s="3" t="inlineStr">
        <is>
          <t>№3</t>
        </is>
      </c>
      <c r="E46" s="3" t="inlineStr">
        <is>
          <t>СКС-2 «Аксу»</t>
        </is>
      </c>
      <c r="F46" s="3" t="inlineStr">
        <is>
          <t>ГПА №2</t>
        </is>
      </c>
      <c r="G46" s="6" t="inlineStr">
        <is>
          <t>—</t>
        </is>
      </c>
      <c r="H46" s="7" t="inlineStr">
        <is>
          <t>Открыть акт (PDF)</t>
        </is>
      </c>
      <c r="I46" s="8" t="n">
        <v>92</v>
      </c>
    </row>
    <row r="47" ht="32" customHeight="1">
      <c r="A47" s="3" t="n">
        <v>44</v>
      </c>
      <c r="B47" s="3" t="inlineStr">
        <is>
          <t>Автоматический останов ГПА№2 по сигналам T22VSVTM_R/S open or short (разница сопротивления катушек сервоприводов VSV A/B)</t>
        </is>
      </c>
      <c r="C47" s="3" t="inlineStr">
        <is>
          <t>01.04.2025</t>
        </is>
      </c>
      <c r="D47" s="3" t="inlineStr">
        <is>
          <t>№4</t>
        </is>
      </c>
      <c r="E47" s="3" t="inlineStr">
        <is>
          <t>СКС-2 «Аксу»</t>
        </is>
      </c>
      <c r="F47" s="3" t="inlineStr">
        <is>
          <t>ГПА №2</t>
        </is>
      </c>
      <c r="G47" s="6" t="inlineStr">
        <is>
          <t>—</t>
        </is>
      </c>
      <c r="H47" s="7" t="inlineStr">
        <is>
          <t>Открыть акт (PDF)</t>
        </is>
      </c>
      <c r="I47" s="8" t="n">
        <v>93</v>
      </c>
    </row>
    <row r="48" ht="32" customHeight="1">
      <c r="A48" s="3" t="n">
        <v>45</v>
      </c>
      <c r="B48" s="3" t="inlineStr">
        <is>
          <t>Останов ГПА№1,2 из-за автоматического останова ГПЭС№4 (повторная ошибка №1452 «Ошибка положения автомата защиты ГУ»)</t>
        </is>
      </c>
      <c r="C48" s="3" t="inlineStr">
        <is>
          <t>09.05.2025</t>
        </is>
      </c>
      <c r="D48" s="3" t="inlineStr">
        <is>
          <t>№5</t>
        </is>
      </c>
      <c r="E48" s="3" t="inlineStr">
        <is>
          <t>СКС-2 «Аксу»</t>
        </is>
      </c>
      <c r="F48" s="3" t="inlineStr">
        <is>
          <t>ГПА №1, ГПА №2</t>
        </is>
      </c>
      <c r="G48" s="6" t="inlineStr">
        <is>
          <t>—</t>
        </is>
      </c>
      <c r="H48" s="7" t="inlineStr">
        <is>
          <t>Открыть акт (PDF)</t>
        </is>
      </c>
      <c r="I48" s="8" t="n">
        <v>94</v>
      </c>
    </row>
    <row r="49" ht="32" customHeight="1">
      <c r="A49" s="3" t="n">
        <v>46</v>
      </c>
      <c r="B49" s="3" t="inlineStr">
        <is>
          <t>Автоматический останов ГПА№2 из-за короткого замыкания сигнальной линии ZSH372 на корпус распределительной коробки ТВ22</t>
        </is>
      </c>
      <c r="C49" s="3" t="inlineStr">
        <is>
          <t>07.09.2025</t>
        </is>
      </c>
      <c r="D49" s="3" t="inlineStr">
        <is>
          <t>№6</t>
        </is>
      </c>
      <c r="E49" s="3" t="inlineStr">
        <is>
          <t>СКС-2 «Аксу»</t>
        </is>
      </c>
      <c r="F49" s="3" t="inlineStr">
        <is>
          <t>ГПА №2</t>
        </is>
      </c>
      <c r="G49" s="6" t="inlineStr">
        <is>
          <t>—</t>
        </is>
      </c>
      <c r="H49" s="7" t="inlineStr">
        <is>
          <t>Открыть акт (PDF)</t>
        </is>
      </c>
      <c r="I49" s="8" t="n">
        <v>95</v>
      </c>
    </row>
    <row r="50" ht="32" customHeight="1">
      <c r="A50" s="3" t="n">
        <v>47</v>
      </c>
      <c r="B50" s="3" t="inlineStr">
        <is>
          <t>Останов ГПА№2,3 по срыву пламени из-за нестабильности регуляторов давления топливного газа БПТГ №1,2</t>
        </is>
      </c>
      <c r="C50" s="3" t="inlineStr">
        <is>
          <t>13.11.2025</t>
        </is>
      </c>
      <c r="D50" s="3" t="inlineStr">
        <is>
          <t>№7</t>
        </is>
      </c>
      <c r="E50" s="3" t="inlineStr">
        <is>
          <t>СКС-2 «Аксу»</t>
        </is>
      </c>
      <c r="F50" s="3" t="inlineStr">
        <is>
          <t>ГПА №2, ГПА №3</t>
        </is>
      </c>
      <c r="G50" s="6" t="inlineStr">
        <is>
          <t>—</t>
        </is>
      </c>
      <c r="H50" s="7" t="inlineStr">
        <is>
          <t>Открыть акт (PDF)</t>
        </is>
      </c>
      <c r="I50" s="8" t="n">
        <v>96</v>
      </c>
    </row>
    <row r="51" ht="32" customHeight="1">
      <c r="A51" s="3" t="n">
        <v>48</v>
      </c>
      <c r="B51" s="3" t="inlineStr">
        <is>
          <t>Автоматический останов ГПА№1,2,3 из-за срабатывания детекторов пламени (тление ветоши после огневых работ на ГПА№2)</t>
        </is>
      </c>
      <c r="C51" s="3" t="inlineStr">
        <is>
          <t>30.09.2024</t>
        </is>
      </c>
      <c r="D51" s="3" t="inlineStr">
        <is>
          <t>№1</t>
        </is>
      </c>
      <c r="E51" s="3" t="inlineStr">
        <is>
          <t>СКС-2 «Аксу»</t>
        </is>
      </c>
      <c r="F51" s="3" t="inlineStr">
        <is>
          <t>ГПА №3</t>
        </is>
      </c>
      <c r="G51" s="6" t="inlineStr">
        <is>
          <t>—</t>
        </is>
      </c>
      <c r="H51" s="7" t="inlineStr">
        <is>
          <t>Открыть акт (PDF)</t>
        </is>
      </c>
      <c r="I51" s="8" t="n">
        <v>97</v>
      </c>
    </row>
    <row r="52" ht="32" customHeight="1">
      <c r="A52" s="3" t="n">
        <v>49</v>
      </c>
      <c r="B52" s="3" t="inlineStr">
        <is>
          <t>Автоматический останов ГПА№2 из-за низкого дифференциального давления в кожухе ГГ (сбой резервного вентилятора продувки 88BA-1)</t>
        </is>
      </c>
      <c r="C52" s="3" t="inlineStr">
        <is>
          <t>30.11.2024</t>
        </is>
      </c>
      <c r="D52" s="3" t="inlineStr">
        <is>
          <t>№2</t>
        </is>
      </c>
      <c r="E52" s="3" t="inlineStr">
        <is>
          <t>СКС-2 «Аксу»</t>
        </is>
      </c>
      <c r="F52" s="3" t="inlineStr">
        <is>
          <t>ГПА №2</t>
        </is>
      </c>
      <c r="G52" s="6" t="inlineStr">
        <is>
          <t>—</t>
        </is>
      </c>
      <c r="H52" s="7" t="inlineStr">
        <is>
          <t>Открыть акт (PDF)</t>
        </is>
      </c>
      <c r="I52" s="8" t="n">
        <v>98</v>
      </c>
    </row>
    <row r="54" ht="28" customHeight="1">
      <c r="A54" s="5" t="inlineStr">
        <is>
          <t>«Модель агрегата» подтягивается из equipment_models.json (справочник станция -&gt; ГПА -&gt; модель). Заполните этот файл реальными моделями и пересоберите платформу — прочерк означает, что модель ещё не внесена.</t>
        </is>
      </c>
    </row>
  </sheetData>
  <mergeCells count="2">
    <mergeCell ref="A1:I1"/>
    <mergeCell ref="A54:I54"/>
  </mergeCells>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H22" r:id="rId19"/>
    <hyperlink xmlns:r="http://schemas.openxmlformats.org/officeDocument/2006/relationships" ref="H23" r:id="rId20"/>
    <hyperlink xmlns:r="http://schemas.openxmlformats.org/officeDocument/2006/relationships" ref="H24" r:id="rId21"/>
    <hyperlink xmlns:r="http://schemas.openxmlformats.org/officeDocument/2006/relationships" ref="H25" r:id="rId22"/>
    <hyperlink xmlns:r="http://schemas.openxmlformats.org/officeDocument/2006/relationships" ref="H26" r:id="rId23"/>
    <hyperlink xmlns:r="http://schemas.openxmlformats.org/officeDocument/2006/relationships" ref="H27" r:id="rId24"/>
    <hyperlink xmlns:r="http://schemas.openxmlformats.org/officeDocument/2006/relationships" ref="H28" r:id="rId25"/>
    <hyperlink xmlns:r="http://schemas.openxmlformats.org/officeDocument/2006/relationships" ref="H29" r:id="rId26"/>
    <hyperlink xmlns:r="http://schemas.openxmlformats.org/officeDocument/2006/relationships" ref="H30" r:id="rId27"/>
    <hyperlink xmlns:r="http://schemas.openxmlformats.org/officeDocument/2006/relationships" ref="H31" r:id="rId28"/>
    <hyperlink xmlns:r="http://schemas.openxmlformats.org/officeDocument/2006/relationships" ref="H32" r:id="rId29"/>
    <hyperlink xmlns:r="http://schemas.openxmlformats.org/officeDocument/2006/relationships" ref="H33" r:id="rId30"/>
    <hyperlink xmlns:r="http://schemas.openxmlformats.org/officeDocument/2006/relationships" ref="H34" r:id="rId31"/>
    <hyperlink xmlns:r="http://schemas.openxmlformats.org/officeDocument/2006/relationships" ref="H35" r:id="rId32"/>
    <hyperlink xmlns:r="http://schemas.openxmlformats.org/officeDocument/2006/relationships" ref="H36" r:id="rId33"/>
    <hyperlink xmlns:r="http://schemas.openxmlformats.org/officeDocument/2006/relationships" ref="H37" r:id="rId34"/>
    <hyperlink xmlns:r="http://schemas.openxmlformats.org/officeDocument/2006/relationships" ref="H38" r:id="rId35"/>
    <hyperlink xmlns:r="http://schemas.openxmlformats.org/officeDocument/2006/relationships" ref="H39" r:id="rId36"/>
    <hyperlink xmlns:r="http://schemas.openxmlformats.org/officeDocument/2006/relationships" ref="H40" r:id="rId37"/>
    <hyperlink xmlns:r="http://schemas.openxmlformats.org/officeDocument/2006/relationships" ref="H41" r:id="rId38"/>
    <hyperlink xmlns:r="http://schemas.openxmlformats.org/officeDocument/2006/relationships" ref="H42" r:id="rId39"/>
    <hyperlink xmlns:r="http://schemas.openxmlformats.org/officeDocument/2006/relationships" ref="H43" r:id="rId40"/>
    <hyperlink xmlns:r="http://schemas.openxmlformats.org/officeDocument/2006/relationships" ref="H44" r:id="rId41"/>
    <hyperlink xmlns:r="http://schemas.openxmlformats.org/officeDocument/2006/relationships" ref="H45" r:id="rId42"/>
    <hyperlink xmlns:r="http://schemas.openxmlformats.org/officeDocument/2006/relationships" ref="H46" r:id="rId43"/>
    <hyperlink xmlns:r="http://schemas.openxmlformats.org/officeDocument/2006/relationships" ref="H47" r:id="rId44"/>
    <hyperlink xmlns:r="http://schemas.openxmlformats.org/officeDocument/2006/relationships" ref="H48" r:id="rId45"/>
    <hyperlink xmlns:r="http://schemas.openxmlformats.org/officeDocument/2006/relationships" ref="H49" r:id="rId46"/>
    <hyperlink xmlns:r="http://schemas.openxmlformats.org/officeDocument/2006/relationships" ref="H50" r:id="rId47"/>
    <hyperlink xmlns:r="http://schemas.openxmlformats.org/officeDocument/2006/relationships" ref="H51" r:id="rId48"/>
    <hyperlink xmlns:r="http://schemas.openxmlformats.org/officeDocument/2006/relationships" ref="H52" r:id="rId4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s>
  <sheetData>
    <row r="1" ht="30" customHeight="1">
      <c r="A1" s="9" t="inlineStr">
        <is>
          <t>СВОДНАЯ ТАБЛИЦА ПО ГОДАМ (авторасчёт по данным листа "База_данных")</t>
        </is>
      </c>
    </row>
    <row r="3">
      <c r="A3" s="2" t="inlineStr">
        <is>
          <t>Год</t>
        </is>
      </c>
      <c r="B3" s="2" t="inlineStr">
        <is>
          <t>ГПА №1</t>
        </is>
      </c>
      <c r="C3" s="2" t="inlineStr">
        <is>
          <t>ГПА №2</t>
        </is>
      </c>
      <c r="D3" s="2" t="inlineStr">
        <is>
          <t>ГПА №3</t>
        </is>
      </c>
    </row>
    <row r="4">
      <c r="A4" s="10" t="n">
        <v>2018</v>
      </c>
      <c r="B4" s="11">
        <f>IFERROR(IF(SUMIFS(База_данных!$C$4:$C$70,База_данных!$A$4:$A$70,A4,База_данных!$B$4:$B$70,"ГПА №1")=0,"",SUMIFS(База_данных!$C$4:$C$70,База_данных!$A$4:$A$70,A4,База_данных!$B$4:$B$70,"ГПА №1")),"")</f>
        <v/>
      </c>
      <c r="C4" s="11">
        <f>IFERROR(IF(SUMIFS(База_данных!$C$4:$C$70,База_данных!$A$4:$A$70,A4,База_данных!$B$4:$B$70,"ГПА №2")=0,"",SUMIFS(База_данных!$C$4:$C$70,База_данных!$A$4:$A$70,A4,База_данных!$B$4:$B$70,"ГПА №2")),"")</f>
        <v/>
      </c>
      <c r="D4" s="11">
        <f>IFERROR(IF(SUMIFS(База_данных!$C$4:$C$70,База_данных!$A$4:$A$70,A4,База_данных!$B$4:$B$70,"ГПА №3")=0,"",SUMIFS(База_данных!$C$4:$C$70,База_данных!$A$4:$A$70,A4,База_данных!$B$4:$B$70,"ГПА №3")),"")</f>
        <v/>
      </c>
    </row>
    <row r="5">
      <c r="A5" s="10" t="n">
        <v>2019</v>
      </c>
      <c r="B5" s="11">
        <f>IFERROR(IF(SUMIFS(База_данных!$C$4:$C$70,База_данных!$A$4:$A$70,A5,База_данных!$B$4:$B$70,"ГПА №1")=0,"",SUMIFS(База_данных!$C$4:$C$70,База_данных!$A$4:$A$70,A5,База_данных!$B$4:$B$70,"ГПА №1")),"")</f>
        <v/>
      </c>
      <c r="C5" s="11">
        <f>IFERROR(IF(SUMIFS(База_данных!$C$4:$C$70,База_данных!$A$4:$A$70,A5,База_данных!$B$4:$B$70,"ГПА №2")=0,"",SUMIFS(База_данных!$C$4:$C$70,База_данных!$A$4:$A$70,A5,База_данных!$B$4:$B$70,"ГПА №2")),"")</f>
        <v/>
      </c>
      <c r="D5" s="11">
        <f>IFERROR(IF(SUMIFS(База_данных!$C$4:$C$70,База_данных!$A$4:$A$70,A5,База_данных!$B$4:$B$70,"ГПА №3")=0,"",SUMIFS(База_данных!$C$4:$C$70,База_данных!$A$4:$A$70,A5,База_данных!$B$4:$B$70,"ГПА №3")),"")</f>
        <v/>
      </c>
    </row>
    <row r="6">
      <c r="A6" s="10" t="n">
        <v>2020</v>
      </c>
      <c r="B6" s="11">
        <f>IFERROR(IF(SUMIFS(База_данных!$C$4:$C$70,База_данных!$A$4:$A$70,A6,База_данных!$B$4:$B$70,"ГПА №1")=0,"",SUMIFS(База_данных!$C$4:$C$70,База_данных!$A$4:$A$70,A6,База_данных!$B$4:$B$70,"ГПА №1")),"")</f>
        <v/>
      </c>
      <c r="C6" s="11">
        <f>IFERROR(IF(SUMIFS(База_данных!$C$4:$C$70,База_данных!$A$4:$A$70,A6,База_данных!$B$4:$B$70,"ГПА №2")=0,"",SUMIFS(База_данных!$C$4:$C$70,База_данных!$A$4:$A$70,A6,База_данных!$B$4:$B$70,"ГПА №2")),"")</f>
        <v/>
      </c>
      <c r="D6" s="11">
        <f>IFERROR(IF(SUMIFS(База_данных!$C$4:$C$70,База_данных!$A$4:$A$70,A6,База_данных!$B$4:$B$70,"ГПА №3")=0,"",SUMIFS(База_данных!$C$4:$C$70,База_данных!$A$4:$A$70,A6,База_данных!$B$4:$B$70,"ГПА №3")),"")</f>
        <v/>
      </c>
    </row>
    <row r="7">
      <c r="A7" s="10" t="n">
        <v>2021</v>
      </c>
      <c r="B7" s="11">
        <f>IFERROR(IF(SUMIFS(База_данных!$C$4:$C$70,База_данных!$A$4:$A$70,A7,База_данных!$B$4:$B$70,"ГПА №1")=0,"",SUMIFS(База_данных!$C$4:$C$70,База_данных!$A$4:$A$70,A7,База_данных!$B$4:$B$70,"ГПА №1")),"")</f>
        <v/>
      </c>
      <c r="C7" s="11">
        <f>IFERROR(IF(SUMIFS(База_данных!$C$4:$C$70,База_данных!$A$4:$A$70,A7,База_данных!$B$4:$B$70,"ГПА №2")=0,"",SUMIFS(База_данных!$C$4:$C$70,База_данных!$A$4:$A$70,A7,База_данных!$B$4:$B$70,"ГПА №2")),"")</f>
        <v/>
      </c>
      <c r="D7" s="11">
        <f>IFERROR(IF(SUMIFS(База_данных!$C$4:$C$70,База_данных!$A$4:$A$70,A7,База_данных!$B$4:$B$70,"ГПА №3")=0,"",SUMIFS(База_данных!$C$4:$C$70,База_данных!$A$4:$A$70,A7,База_данных!$B$4:$B$70,"ГПА №3")),"")</f>
        <v/>
      </c>
    </row>
    <row r="8">
      <c r="A8" s="10" t="n">
        <v>2022</v>
      </c>
      <c r="B8" s="11">
        <f>IFERROR(IF(SUMIFS(База_данных!$C$4:$C$70,База_данных!$A$4:$A$70,A8,База_данных!$B$4:$B$70,"ГПА №1")=0,"",SUMIFS(База_данных!$C$4:$C$70,База_данных!$A$4:$A$70,A8,База_данных!$B$4:$B$70,"ГПА №1")),"")</f>
        <v/>
      </c>
      <c r="C8" s="11">
        <f>IFERROR(IF(SUMIFS(База_данных!$C$4:$C$70,База_данных!$A$4:$A$70,A8,База_данных!$B$4:$B$70,"ГПА №2")=0,"",SUMIFS(База_данных!$C$4:$C$70,База_данных!$A$4:$A$70,A8,База_данных!$B$4:$B$70,"ГПА №2")),"")</f>
        <v/>
      </c>
      <c r="D8" s="11">
        <f>IFERROR(IF(SUMIFS(База_данных!$C$4:$C$70,База_данных!$A$4:$A$70,A8,База_данных!$B$4:$B$70,"ГПА №3")=0,"",SUMIFS(База_данных!$C$4:$C$70,База_данных!$A$4:$A$70,A8,База_данных!$B$4:$B$70,"ГПА №3")),"")</f>
        <v/>
      </c>
    </row>
    <row r="9">
      <c r="A9" s="10" t="n">
        <v>2023</v>
      </c>
      <c r="B9" s="11">
        <f>IFERROR(IF(SUMIFS(База_данных!$C$4:$C$70,База_данных!$A$4:$A$70,A9,База_данных!$B$4:$B$70,"ГПА №1")=0,"",SUMIFS(База_данных!$C$4:$C$70,База_данных!$A$4:$A$70,A9,База_данных!$B$4:$B$70,"ГПА №1")),"")</f>
        <v/>
      </c>
      <c r="C9" s="11">
        <f>IFERROR(IF(SUMIFS(База_данных!$C$4:$C$70,База_данных!$A$4:$A$70,A9,База_данных!$B$4:$B$70,"ГПА №2")=0,"",SUMIFS(База_данных!$C$4:$C$70,База_данных!$A$4:$A$70,A9,База_данных!$B$4:$B$70,"ГПА №2")),"")</f>
        <v/>
      </c>
      <c r="D9" s="11">
        <f>IFERROR(IF(SUMIFS(База_данных!$C$4:$C$70,База_данных!$A$4:$A$70,A9,База_данных!$B$4:$B$70,"ГПА №3")=0,"",SUMIFS(База_данных!$C$4:$C$70,База_данных!$A$4:$A$70,A9,База_данных!$B$4:$B$70,"ГПА №3")),"")</f>
        <v/>
      </c>
    </row>
    <row r="10">
      <c r="A10" s="10" t="n">
        <v>2024</v>
      </c>
      <c r="B10" s="11">
        <f>IFERROR(IF(SUMIFS(База_данных!$C$4:$C$70,База_данных!$A$4:$A$70,A10,База_данных!$B$4:$B$70,"ГПА №1")=0,"",SUMIFS(База_данных!$C$4:$C$70,База_данных!$A$4:$A$70,A10,База_данных!$B$4:$B$70,"ГПА №1")),"")</f>
        <v/>
      </c>
      <c r="C10" s="11">
        <f>IFERROR(IF(SUMIFS(База_данных!$C$4:$C$70,База_данных!$A$4:$A$70,A10,База_данных!$B$4:$B$70,"ГПА №2")=0,"",SUMIFS(База_данных!$C$4:$C$70,База_данных!$A$4:$A$70,A10,База_данных!$B$4:$B$70,"ГПА №2")),"")</f>
        <v/>
      </c>
      <c r="D10" s="11">
        <f>IFERROR(IF(SUMIFS(База_данных!$C$4:$C$70,База_данных!$A$4:$A$70,A10,База_данных!$B$4:$B$70,"ГПА №3")=0,"",SUMIFS(База_данных!$C$4:$C$70,База_данных!$A$4:$A$70,A10,База_данных!$B$4:$B$70,"ГПА №3")),"")</f>
        <v/>
      </c>
    </row>
    <row r="11">
      <c r="A11" s="10" t="n">
        <v>2025</v>
      </c>
      <c r="B11" s="11">
        <f>IFERROR(IF(SUMIFS(База_данных!$C$4:$C$70,База_данных!$A$4:$A$70,A11,База_данных!$B$4:$B$70,"ГПА №1")=0,"",SUMIFS(База_данных!$C$4:$C$70,База_данных!$A$4:$A$70,A11,База_данных!$B$4:$B$70,"ГПА №1")),"")</f>
        <v/>
      </c>
      <c r="C11" s="11">
        <f>IFERROR(IF(SUMIFS(База_данных!$C$4:$C$70,База_данных!$A$4:$A$70,A11,База_данных!$B$4:$B$70,"ГПА №2")=0,"",SUMIFS(База_данных!$C$4:$C$70,База_данных!$A$4:$A$70,A11,База_данных!$B$4:$B$70,"ГПА №2")),"")</f>
        <v/>
      </c>
      <c r="D11" s="11">
        <f>IFERROR(IF(SUMIFS(База_данных!$C$4:$C$70,База_данных!$A$4:$A$70,A11,База_данных!$B$4:$B$70,"ГПА №3")=0,"",SUMIFS(База_данных!$C$4:$C$70,База_данных!$A$4:$A$70,A11,База_данных!$B$4:$B$70,"ГПА №3")),"")</f>
        <v/>
      </c>
    </row>
    <row r="12">
      <c r="A12" s="10" t="n">
        <v>2026</v>
      </c>
      <c r="B12" s="11">
        <f>IFERROR(IF(SUMIFS(База_данных!$C$4:$C$70,База_данных!$A$4:$A$70,A12,База_данных!$B$4:$B$70,"ГПА №1")=0,"",SUMIFS(База_данных!$C$4:$C$70,База_данных!$A$4:$A$70,A12,База_данных!$B$4:$B$70,"ГПА №1")),"")</f>
        <v/>
      </c>
      <c r="C12" s="11">
        <f>IFERROR(IF(SUMIFS(База_данных!$C$4:$C$70,База_данных!$A$4:$A$70,A12,База_данных!$B$4:$B$70,"ГПА №2")=0,"",SUMIFS(База_данных!$C$4:$C$70,База_данных!$A$4:$A$70,A12,База_данных!$B$4:$B$70,"ГПА №2")),"")</f>
        <v/>
      </c>
      <c r="D12" s="11">
        <f>IFERROR(IF(SUMIFS(База_данных!$C$4:$C$70,База_данных!$A$4:$A$70,A12,База_данных!$B$4:$B$70,"ГПА №3")=0,"",SUMIFS(База_данных!$C$4:$C$70,База_данных!$A$4:$A$70,A12,База_данных!$B$4:$B$70,"ГПА №3")),"")</f>
        <v/>
      </c>
    </row>
    <row r="13">
      <c r="A13" s="12" t="inlineStr">
        <is>
          <t>ИТОГО</t>
        </is>
      </c>
      <c r="B13" s="12">
        <f>SUMIFS(База_данных!$C$4:$C$70,База_данных!$B$4:$B$70,"ГПА №1")</f>
        <v/>
      </c>
      <c r="C13" s="12">
        <f>SUMIFS(База_данных!$C$4:$C$70,База_данных!$B$4:$B$70,"ГПА №2")</f>
        <v/>
      </c>
      <c r="D13" s="12">
        <f>SUMIFS(База_данных!$C$4:$C$70,База_данных!$B$4:$B$70,"ГПА №3")</f>
        <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2"/>
  <sheetViews>
    <sheetView showGridLines="0" workbookViewId="0">
      <pane ySplit="3" topLeftCell="A4" activePane="bottomLeft" state="frozen"/>
      <selection pane="bottomLeft" activeCell="A1" sqref="A1"/>
    </sheetView>
  </sheetViews>
  <sheetFormatPr baseColWidth="8" defaultRowHeight="15"/>
  <cols>
    <col width="16" customWidth="1" min="1" max="1"/>
    <col width="11" customWidth="1" min="2" max="2"/>
    <col width="8" customWidth="1" min="3" max="3"/>
    <col width="14" customWidth="1" min="4" max="4"/>
    <col width="14" customWidth="1" min="5" max="5"/>
    <col width="20" customWidth="1" min="6" max="6"/>
    <col width="45" customWidth="1" min="7" max="7"/>
    <col width="35" customWidth="1" min="8" max="8"/>
    <col width="35" customWidth="1" min="9" max="9"/>
  </cols>
  <sheetData>
    <row r="1" ht="26" customHeight="1">
      <c r="A1" s="9" t="inlineStr">
        <is>
          <t>ДЕТАЛИЗАЦИЯ ИНЦИДЕНТОВ ПО АКТАМ ТЕХНИЧЕСКОГО РАССЛЕДОВАНИЯ</t>
        </is>
      </c>
    </row>
    <row r="3">
      <c r="A3" s="13" t="inlineStr">
        <is>
          <t>№ Акта</t>
        </is>
      </c>
      <c r="B3" s="13" t="inlineStr">
        <is>
          <t>Дата</t>
        </is>
      </c>
      <c r="C3" s="13" t="inlineStr">
        <is>
          <t>Время</t>
        </is>
      </c>
      <c r="D3" s="13" t="inlineStr">
        <is>
          <t>ГПА</t>
        </is>
      </c>
      <c r="E3" s="13" t="inlineStr">
        <is>
          <t>Тип останова</t>
        </is>
      </c>
      <c r="F3" s="13" t="inlineStr">
        <is>
          <t>Категория причины</t>
        </is>
      </c>
      <c r="G3" s="13" t="inlineStr">
        <is>
          <t>Обстоятельства, при которых произошел останов (п.6)</t>
        </is>
      </c>
      <c r="H3" s="13" t="inlineStr">
        <is>
          <t>Меры при останове</t>
        </is>
      </c>
      <c r="I3" s="13" t="inlineStr">
        <is>
          <t>Заключение / Принятые меры</t>
        </is>
      </c>
    </row>
    <row r="4" ht="95" customHeight="1">
      <c r="A4" s="14" t="inlineStr">
        <is>
          <t>№1 от 10.06.2020</t>
        </is>
      </c>
      <c r="B4" s="15" t="inlineStr">
        <is>
          <t>10.06.2020</t>
        </is>
      </c>
      <c r="C4" s="15" t="inlineStr">
        <is>
          <t>10:29</t>
        </is>
      </c>
      <c r="D4" s="15" t="inlineStr">
        <is>
          <t>ГПА №2</t>
        </is>
      </c>
      <c r="E4" s="15" t="inlineStr">
        <is>
          <t>Автоматический</t>
        </is>
      </c>
      <c r="F4" s="15" t="inlineStr">
        <is>
          <t>Электросеть / переключение агрегатов</t>
        </is>
      </c>
      <c r="G4" s="16" t="inlineStr">
        <is>
          <t>При переключении с ГПА№2 на ГПА№3 нагрузка ГПЭС№1 достигла 841 кВт, скачок частоты с 50 до 57,2 Гц вызвал срабатывание защиты и отключение автомата ABB 2500A. ГПЭС№1 остался без нагрузки, АДЭС не запустился, из-за отсутствия питания электродвигателей КВОУ произошел останов ГПА№2 по низкому давлению датчика PDIT 563 A/B. Запущена резервная ГПЭС№3, синхронизирована с ГПЭС№1.</t>
        </is>
      </c>
      <c r="H4" s="16" t="inlineStr"/>
      <c r="I4" s="16" t="inlineStr">
        <is>
          <t xml:space="preserve">ГПЭС №1 выведен в «резерв».
</t>
        </is>
      </c>
    </row>
    <row r="5" ht="95" customHeight="1">
      <c r="A5" s="14" t="inlineStr">
        <is>
          <t>№1 от 01.02.2022</t>
        </is>
      </c>
      <c r="B5" s="15" t="inlineStr">
        <is>
          <t>01.02.2022</t>
        </is>
      </c>
      <c r="C5" s="15" t="inlineStr">
        <is>
          <t>23:43</t>
        </is>
      </c>
      <c r="D5" s="15" t="inlineStr">
        <is>
          <t>ГПА №3</t>
        </is>
      </c>
      <c r="E5" s="15" t="inlineStr">
        <is>
          <t>Автоматический</t>
        </is>
      </c>
      <c r="F5" s="15" t="inlineStr">
        <is>
          <t>Настройка/калибровка камеры сгорания (DLE)</t>
        </is>
      </c>
      <c r="G5" s="16" t="inlineStr">
        <is>
          <t>При повышении оборотов ГТУ №2,3 с 4950 до 5250 об/мин, при переходе режима «АВ»→«АВС» открытие клапана FCV-107 на 19,3% и CDP-клапана FCV-211 на 6,29% снизило давление воздуха в камере сгорания ниже нормы, коэффициент «blowout» превысил предел 15%, произошла потеря пламени. Запущен резервный ГПА№1.</t>
        </is>
      </c>
      <c r="H5" s="16" t="inlineStr">
        <is>
          <t>Проверка клапанов CDP/FCV-104/105/107, протяжка контактов клапанов и датчиков пламени BE-473 A/B.</t>
        </is>
      </c>
      <c r="I5" s="16" t="inlineStr">
        <is>
          <t>ГПА №3 выведен в «резерв» с исключением режима работы камеры сгорания «АВС». Человеческий фактор персонала исключен.
Проверка клапанов CDP/FCV-104/105/107, протяжка контактов клапанов и датчиков пламени BE-473 A/B.</t>
        </is>
      </c>
    </row>
    <row r="6" ht="95" customHeight="1">
      <c r="A6" s="14" t="inlineStr">
        <is>
          <t>№2 от 11.03.2022</t>
        </is>
      </c>
      <c r="B6" s="15" t="inlineStr">
        <is>
          <t>11.03.2022</t>
        </is>
      </c>
      <c r="C6" s="15" t="inlineStr">
        <is>
          <t>19:43</t>
        </is>
      </c>
      <c r="D6" s="15" t="inlineStr">
        <is>
          <t>ГПА №3</t>
        </is>
      </c>
      <c r="E6" s="15" t="inlineStr">
        <is>
          <t>Автоматический</t>
        </is>
      </c>
      <c r="F6" s="15" t="inlineStr">
        <is>
          <t>Настройка/калибровка камеры сгорания (DLE)</t>
        </is>
      </c>
      <c r="G6" s="16" t="inlineStr">
        <is>
          <t>Зафиксирован Alarm «Flame out trip» — потеря пламени в камере сгорания. Установлено несоответствие значений Т3 в таблицах DLE Mapping зимнего режима значениям, установленным в ПЛК T10, из-за чего при высоких оборотах некорректно работал режим «АВС». Запущен резервный ГПА№2.</t>
        </is>
      </c>
      <c r="H6" s="16" t="inlineStr">
        <is>
          <t>Проверка CDP-клапана FCV-211 и дозирующих клапанов FCV-104/105/107, протяжка контактов клапанов и датчиков пламени BE-473 A/B.</t>
        </is>
      </c>
      <c r="I6" s="16" t="inlineStr">
        <is>
          <t>Человеческий фактор обслуживающего персонала КС-1 исключен.
Проверка CDP-клапана FCV-211 и дозирующих клапанов FCV-104/105/107, протяжка контактов клапанов и датчиков пламени BE-473 A/B.</t>
        </is>
      </c>
    </row>
    <row r="7" ht="95" customHeight="1">
      <c r="A7" s="14" t="inlineStr">
        <is>
          <t>№3 от 25.04.2022</t>
        </is>
      </c>
      <c r="B7" s="15" t="inlineStr">
        <is>
          <t>25.04.2022</t>
        </is>
      </c>
      <c r="C7" s="15" t="inlineStr">
        <is>
          <t>10:14</t>
        </is>
      </c>
      <c r="D7" s="15" t="inlineStr">
        <is>
          <t>ГПА №2</t>
        </is>
      </c>
      <c r="E7" s="15" t="inlineStr">
        <is>
          <t>Автоматический</t>
        </is>
      </c>
      <c r="F7" s="15" t="inlineStr">
        <is>
          <t>Человеческий фактор</t>
        </is>
      </c>
      <c r="G7" s="16" t="inlineStr">
        <is>
          <t>При активации автоматического режима АСПТ (пожаротушение CO2) сменный инженер вместо кнопки «выбор» нажал «стрелка вправо» и по ошибке активировал команду «пуск АСПТ», введя 4-значный код, что привело к Авто останову ГПА№2 (срабатывание ESDII по алярму CO2 Pre-Discharge). Запущен резервный ГПА№3, режим МГ восстановлен за 28 минут.</t>
        </is>
      </c>
      <c r="H7" s="16" t="inlineStr"/>
      <c r="I7" s="16" t="inlineStr">
        <is>
          <t xml:space="preserve">ГПА №2 выведен в «резерв». Систему пожаротушения CO2 необходимо модернизировать.
</t>
        </is>
      </c>
    </row>
    <row r="8" ht="95" customHeight="1">
      <c r="A8" s="14" t="inlineStr">
        <is>
          <t>№5 от 07.06.2022</t>
        </is>
      </c>
      <c r="B8" s="15" t="inlineStr">
        <is>
          <t>07.06.2022</t>
        </is>
      </c>
      <c r="C8" s="15" t="inlineStr">
        <is>
          <t>18:56</t>
        </is>
      </c>
      <c r="D8" s="15" t="inlineStr">
        <is>
          <t>ГПА №2</t>
        </is>
      </c>
      <c r="E8" s="15" t="inlineStr">
        <is>
          <t>Автоматический</t>
        </is>
      </c>
      <c r="F8" s="15" t="inlineStr">
        <is>
          <t>Ложное срабатывание КИП</t>
        </is>
      </c>
      <c r="G8" s="16" t="inlineStr">
        <is>
          <t>Зафиксирован сигнал ошибки «process incorrect valves position» по свечному крану XV-784 из-за потери обратного статуса о закрытом положении крана. Проверка концевых выключателей дефектов не выявила — кран исправен.</t>
        </is>
      </c>
      <c r="H8" s="16" t="inlineStr">
        <is>
          <t>Контрольная проверка работоспособности свечного крана XV-784 перед запуском ГПА.</t>
        </is>
      </c>
      <c r="I8" s="16" t="inlineStr">
        <is>
          <t>Человеческий фактор персонала КС-1 отсутствует.
Контрольная проверка работоспособности свечного крана XV-784 перед запуском ГПА.</t>
        </is>
      </c>
    </row>
    <row r="9" ht="95" customHeight="1">
      <c r="A9" s="14" t="inlineStr">
        <is>
          <t>№1 от 11.03.2023</t>
        </is>
      </c>
      <c r="B9" s="15" t="inlineStr">
        <is>
          <t>11.03.2023</t>
        </is>
      </c>
      <c r="C9" s="15" t="inlineStr">
        <is>
          <t>10:08</t>
        </is>
      </c>
      <c r="D9" s="15" t="inlineStr">
        <is>
          <t>ГПА №2, ГПА №3</t>
        </is>
      </c>
      <c r="E9" s="15" t="inlineStr">
        <is>
          <t>Автоматический</t>
        </is>
      </c>
      <c r="F9" s="15" t="inlineStr">
        <is>
          <t>Техническая неисправность оборудования</t>
        </is>
      </c>
      <c r="G9" s="16" t="inlineStr">
        <is>
          <t>Из-за отсутствия нагрузочного модуля при запуске вентиляторов АВО газа резко возросла нагрузка и упала частота (382→582 кВт, 49→45 Гц), что вызвало АО ГПЭС№3. Сработала аварийная защита по перепаду давления в баке минерального масла, что привело к автооостанову ГПА №3 и №2. Запущены резервные ГПЭС№1 и ГПА№2,3.</t>
        </is>
      </c>
      <c r="H9" s="16" t="inlineStr"/>
      <c r="I9" s="16" t="inlineStr">
        <is>
          <t xml:space="preserve">ГПЭС №3 выведен в «резерв», ожидается приезд специалистов ТОО «ГазСервСтрой».
</t>
        </is>
      </c>
    </row>
    <row r="10" ht="113" customHeight="1">
      <c r="A10" s="14" t="inlineStr">
        <is>
          <t>№2 от 14.04.2023</t>
        </is>
      </c>
      <c r="B10" s="15" t="inlineStr">
        <is>
          <t>14.04.2023</t>
        </is>
      </c>
      <c r="C10" s="15" t="inlineStr">
        <is>
          <t>16:52</t>
        </is>
      </c>
      <c r="D10" s="15" t="inlineStr">
        <is>
          <t>ГПА №2</t>
        </is>
      </c>
      <c r="E10" s="15" t="inlineStr">
        <is>
          <t>Автоматический</t>
        </is>
      </c>
      <c r="F10" s="15" t="inlineStr">
        <is>
          <t>Отказ оборудования КИПиА</t>
        </is>
      </c>
      <c r="G10" s="16" t="inlineStr">
        <is>
          <t>Произошёл сбой передачи данных от датчиков систем минерального масла и сухого газового уплотнения, что повлекло Автоостанов ГПА№2. Причина — выход из строя модуля изолятора Profibus (Railbus MTL) №RB6-2 в шкафу RIO Panel JB-2.</t>
        </is>
      </c>
      <c r="H10" s="16" t="inlineStr">
        <is>
          <t>Выявление и замена неисправного модуля изолятора Railbus №RB6-2 в шкафу RIO Panel JB-2.
Повреждено: Модуль изолятор Railbus (MTL 8000 I/O 8922-RB-IS), тэговый №RB6-2</t>
        </is>
      </c>
      <c r="I10" s="16" t="inlineStr">
        <is>
          <t>ГПА №2 выведен в «резерв».
Внедрено резервирование контроля давления в системе сухих газовых уплотнений (СГУ) ГПА GE согласно предложению по повышению эффективности №4 от 28.11.2025. Установлен резервный датчик давления PIT-750/B (Rosemount 3051) параллельно основному датчику PIT-750 с использованием существующей аппаратной базы. Резервный датчик подключён к свободному аналоговому входу №4 модуля MTL8000 8201-HI-IS в шкафу JB-1. Настроена логика контроллера по принципу голосования «2оо2»: останов ГПА инициируется только при подтверждении аварийного значения давления обоими датчиками либо при совпадении аварийного сигнала одного датчика с диагностической неисправностью второго. На ЧМИ (HMI Cimplicity GE) обеспечено отображение параметров обоих каналов измерения, состояния датчиков и диагностической информации. Обеспечено резервирование системы контроля давления СГУ с исключением потери функции контроля при выходе из строя одного измерительного канала. — Акт выполненных работ  от 23.05.2026 (выполнено)</t>
        </is>
      </c>
    </row>
    <row r="11" ht="95" customHeight="1">
      <c r="A11" s="14" t="inlineStr">
        <is>
          <t>№5 от 06.06.2023</t>
        </is>
      </c>
      <c r="B11" s="15" t="inlineStr">
        <is>
          <t>06.06.2023</t>
        </is>
      </c>
      <c r="C11" s="15" t="inlineStr">
        <is>
          <t>15:23</t>
        </is>
      </c>
      <c r="D11" s="15" t="inlineStr">
        <is>
          <t>ГПА №2</t>
        </is>
      </c>
      <c r="E11" s="15" t="inlineStr">
        <is>
          <t>Автоматический</t>
        </is>
      </c>
      <c r="F11" s="15" t="inlineStr">
        <is>
          <t>Ложное срабатывание КИП</t>
        </is>
      </c>
      <c r="G11" s="16" t="inlineStr">
        <is>
          <t>Кратковременное некорректное значение от концевых выключателей положения свечного крана XV-4204 вызвало сигнал «L86VM_ALM» и «L33P_ALM Process incorrect valves position», что инициировало АвтО ГПА№2.</t>
        </is>
      </c>
      <c r="H11" s="16" t="inlineStr">
        <is>
          <t>Проверка блока управления краном и импульсных трубок, ревизия соленоидного клапана, протяжка контактов концевых выключателей XV-4204.</t>
        </is>
      </c>
      <c r="I11" s="16" t="inlineStr">
        <is>
          <t>ГПА №2 выведен в работу.
Проверка блока управления краном и импульсных трубок, ревизия соленоидного клапана, протяжка контактов концевых выключателей XV-4204.</t>
        </is>
      </c>
    </row>
    <row r="12" ht="95" customHeight="1">
      <c r="A12" s="14" t="inlineStr">
        <is>
          <t>№1 от 04.03.2024</t>
        </is>
      </c>
      <c r="B12" s="15" t="inlineStr">
        <is>
          <t>04.03.2024</t>
        </is>
      </c>
      <c r="C12" s="15" t="inlineStr">
        <is>
          <t>08:06</t>
        </is>
      </c>
      <c r="D12" s="15" t="inlineStr">
        <is>
          <t>ГПА №1</t>
        </is>
      </c>
      <c r="E12" s="15" t="inlineStr">
        <is>
          <t>Автоматический</t>
        </is>
      </c>
      <c r="F12" s="15" t="inlineStr">
        <is>
          <t>Отказ оборудования КИПиА</t>
        </is>
      </c>
      <c r="G12" s="16" t="inlineStr">
        <is>
          <t>Данные с датчика температуры TE-147A начали проявлять нестабильность, что отразилось на разности температур обгонной муфты и синтетического масла, инициировав аварийный сигнал L26SDT_ALM и АвтО ГПА№1. Причина — некорректная работа модуля ввода RTD 8106-TI-RT (RIO R1) в шкафу MP-2 UCP1.</t>
        </is>
      </c>
      <c r="H12" s="16" t="inlineStr">
        <is>
          <t>Горячая замена модуля аналогового ввода MTL8000 RTD 8106-TI-RT (RIO R1).</t>
        </is>
      </c>
      <c r="I12" s="16" t="inlineStr">
        <is>
          <t>ГПА №1 выведен в «резерв».
Горячая замена модуля аналогового ввода MTL8000 RTD 8106-TI-RT (RIO R1).</t>
        </is>
      </c>
    </row>
    <row r="13" ht="95" customHeight="1">
      <c r="A13" s="14" t="inlineStr">
        <is>
          <t>№2 от 11.03.2024</t>
        </is>
      </c>
      <c r="B13" s="15" t="inlineStr">
        <is>
          <t>11.03.2024</t>
        </is>
      </c>
      <c r="C13" s="15" t="inlineStr">
        <is>
          <t>14:50</t>
        </is>
      </c>
      <c r="D13" s="15" t="inlineStr">
        <is>
          <t>ГПА №1, ГПА №3</t>
        </is>
      </c>
      <c r="E13" s="15" t="inlineStr">
        <is>
          <t>Вынужденный нормальный</t>
        </is>
      </c>
      <c r="F13" s="15" t="inlineStr">
        <is>
          <t>Техническая неисправность (вспомогательные системы)</t>
        </is>
      </c>
      <c r="G13" s="16" t="inlineStr">
        <is>
          <t>Резкое падение давления на выходе воздушного компрессора из-за непрерывного сброса воздуха через открытый клапан XV-3703B осушительной установки ВК№1 (застывшее состояние управляющего ПЛК), а также из-за отсутствия обратного клапана на линии «Воздушный компрессор — Воздушный ресивер». Выполнено переключение с ВК№1 на ВК№2.</t>
        </is>
      </c>
      <c r="H13" s="16" t="inlineStr">
        <is>
          <t>Перезагрузка ПЛК и комплексное опробование осушительной установки.</t>
        </is>
      </c>
      <c r="I13" s="16" t="inlineStr">
        <is>
          <t>ГПА №1,3 перезапущены в работу.
Перезагрузка ПЛК и комплексное опробование осушительной установки.</t>
        </is>
      </c>
    </row>
    <row r="14" ht="95" customHeight="1">
      <c r="A14" s="14" t="inlineStr">
        <is>
          <t>№3 от 10.05.2024</t>
        </is>
      </c>
      <c r="B14" s="15" t="inlineStr">
        <is>
          <t>10.05.2024</t>
        </is>
      </c>
      <c r="C14" s="15" t="inlineStr">
        <is>
          <t>10:54</t>
        </is>
      </c>
      <c r="D14" s="15" t="inlineStr">
        <is>
          <t>ГПА №3</t>
        </is>
      </c>
      <c r="E14" s="15" t="inlineStr">
        <is>
          <t>Автоматический</t>
        </is>
      </c>
      <c r="F14" s="15" t="inlineStr">
        <is>
          <t>Ложное срабатывание КИП / связь</t>
        </is>
      </c>
      <c r="G14" s="16" t="inlineStr">
        <is>
          <t>Зафиксированы сообщения о срабатывании 2 из 3 датчиков загазованности AE 557 A,B,C. Утечки газа не обнаружено. Причина — кратковременная потеря связи (потеря пакета данных) на коммутаторах NTRON 509 системы управления HIMA. Запущен резервный ГПА№2.</t>
        </is>
      </c>
      <c r="H14" s="16" t="inlineStr">
        <is>
          <t>Замена коммутаторов NTRON 509 системы HIMA. Калибровка датчиков загазованности AE 557 A,B,C.</t>
        </is>
      </c>
      <c r="I14" s="16" t="inlineStr">
        <is>
          <t>Человеческий фактор персонала КС-1 исключен.
Замена коммутаторов NTRON 509 системы HIMA. Калибровка датчиков загазованности AE 557 A,B,C.</t>
        </is>
      </c>
    </row>
    <row r="15" ht="95" customHeight="1">
      <c r="A15" s="14" t="inlineStr">
        <is>
          <t>№4 от 28.12.2024</t>
        </is>
      </c>
      <c r="B15" s="15" t="inlineStr">
        <is>
          <t>28.12.2024</t>
        </is>
      </c>
      <c r="C15" s="15" t="inlineStr">
        <is>
          <t>23:50</t>
        </is>
      </c>
      <c r="D15" s="15" t="inlineStr">
        <is>
          <t>ГПА №1</t>
        </is>
      </c>
      <c r="E15" s="15" t="inlineStr">
        <is>
          <t>Автоматический</t>
        </is>
      </c>
      <c r="F15" s="15" t="inlineStr">
        <is>
          <t>Электросеть / синхронизация агрегатов</t>
        </is>
      </c>
      <c r="G15" s="16" t="inlineStr">
        <is>
          <t>Обнаружены нестабильные обороты ГПЭС№1; при запуске ГПЭС№3 и №2 синхронизация с ГПЭС№1 не была произведена. Колебания оборотов вызвали колебания частоты сети (45–52 Гц), сработала защита по частоте, ГПЭС№1 остался без нагрузки — произошел останов ГПА№1. Запущены резервные ГПЭС№2,3, выполнена синхронизация.</t>
        </is>
      </c>
      <c r="H15" s="16" t="inlineStr">
        <is>
          <t>Проверка трендов, бороскопия цилиндров, ревизия генераторов, турбокомпрессоров — дефектов не обнаружено. Замена 16 свечей зажигания.</t>
        </is>
      </c>
      <c r="I15" s="16" t="inlineStr">
        <is>
          <t>ГПЭС №1 выведен в «резерв».
Проверка трендов, бороскопия цилиндров, ревизия генераторов, турбокомпрессоров — дефектов не обнаружено. Замена 16 свечей зажигания.</t>
        </is>
      </c>
    </row>
    <row r="16" ht="95" customHeight="1">
      <c r="A16" s="14" t="inlineStr">
        <is>
          <t>№1 от 02.05.2025</t>
        </is>
      </c>
      <c r="B16" s="15" t="inlineStr">
        <is>
          <t>02.05.2025</t>
        </is>
      </c>
      <c r="C16" s="15" t="inlineStr">
        <is>
          <t>19:00</t>
        </is>
      </c>
      <c r="D16" s="15" t="inlineStr">
        <is>
          <t>ГПА №1, ГПА №3</t>
        </is>
      </c>
      <c r="E16" s="15" t="inlineStr">
        <is>
          <t>Автоматический</t>
        </is>
      </c>
      <c r="F16" s="15" t="inlineStr">
        <is>
          <t>Внешняя/неподтвержденная причина</t>
        </is>
      </c>
      <c r="G16" s="16" t="inlineStr">
        <is>
          <t>Резкое отклонение параметров подачи топливного газа привело к останову ГПА№1 и №3 из-за потери пламени в камерах сгорания. Возможная причина — автоматическое закрытие крана MOV7501 (не подтверждено: САУ теплообменника не оснащена журналом событий).</t>
        </is>
      </c>
      <c r="H16" s="16" t="inlineStr">
        <is>
          <t>Открыта байпасная линия подачи газа на теплообменник. Ревизия шкафа управления теплообменника — дефектов не выявлено.</t>
        </is>
      </c>
      <c r="I16" s="16" t="inlineStr">
        <is>
          <t>ГПА №1, №3 выведены в работу.
Открыта байпасная линия подачи газа на теплообменник. Ревизия шкафа управления теплообменника — дефектов не выявлено.</t>
        </is>
      </c>
    </row>
    <row r="17" ht="95" customHeight="1">
      <c r="A17" s="14" t="inlineStr">
        <is>
          <t>№1 от 27.04.2026</t>
        </is>
      </c>
      <c r="B17" s="15" t="inlineStr">
        <is>
          <t>27.04.2026</t>
        </is>
      </c>
      <c r="C17" s="15" t="inlineStr">
        <is>
          <t>08:05</t>
        </is>
      </c>
      <c r="D17" s="15" t="inlineStr">
        <is>
          <t>ГПА №1, ГПА №3</t>
        </is>
      </c>
      <c r="E17" s="15" t="inlineStr">
        <is>
          <t>Автоматический</t>
        </is>
      </c>
      <c r="F17" s="15" t="inlineStr">
        <is>
          <t>Техническая неисправность оборудования</t>
        </is>
      </c>
      <c r="G17" s="16" t="inlineStr">
        <is>
          <t>Сильный посторонний шум и резкое снижение частоты ГПЭС№3 (49→43 Гц) привели к вынужденному останову ГПЭС№3. Из-за кратковременного обесточивания вспомогательных систем сработала защита по перепаду давления PDIT-563 в кожухе ГПА №1,3, что вызвало АвтО ГПА №1 и №3. Запущена резервная ГПЭС№2, ГПА№1,3 возвращены в работу.</t>
        </is>
      </c>
      <c r="H17" s="16" t="inlineStr">
        <is>
          <t xml:space="preserve">
Повреждено: Выявлены дефекты (повреждение) выпускных клапанов в цилиндрах №2,4,6,8,9,11 ГПЭС№3</t>
        </is>
      </c>
      <c r="I17" s="16" t="inlineStr">
        <is>
          <t xml:space="preserve">ГПЭС №3 выведен в «ремонт» — требуется замена ГБЦ №2,4,6,8,9,11.
</t>
        </is>
      </c>
    </row>
    <row r="18" ht="113" customHeight="1">
      <c r="A18" s="14" t="inlineStr">
        <is>
          <t>№4 от 01.06.2023</t>
        </is>
      </c>
      <c r="B18" s="15" t="inlineStr">
        <is>
          <t>01.06.2023</t>
        </is>
      </c>
      <c r="C18" s="15" t="inlineStr">
        <is>
          <t>22:00</t>
        </is>
      </c>
      <c r="D18" s="15" t="inlineStr">
        <is>
          <t>ГПА №2</t>
        </is>
      </c>
      <c r="E18" s="15" t="inlineStr">
        <is>
          <t>Вынужденный нормальный</t>
        </is>
      </c>
      <c r="F18" s="15" t="inlineStr">
        <is>
          <t>Техническая неисправность оборудования</t>
        </is>
      </c>
      <c r="G18" s="16" t="inlineStr">
        <is>
          <t>Во время работы ГПА№2 было зафиксировано снижение уровня синтетического масла в баке системы смазки. Обнаружена утечка синтетического масла с порта MP375C — дренажной линии CDP клапана (Bleed Valve). В связи с неисправностью CDP клапана, по согласованию с АКЦ произведён вынужденный нормальный останов ГПА№2 для предотвращения выхода из строя узлов газогенератора.</t>
        </is>
      </c>
      <c r="H18" s="16" t="inlineStr">
        <is>
          <t>После процедуры охлаждения ГПА произведена замена CDP клапана (Bleed Valve). Запуск ГПА№2 в режиме Manual после калибровки и настройки рабочих параметров (Calibration Crank).
Повреждено: При инспекции выявлен износ тефлонового уплотнительного кольца пружинно-поршневого затвора клапана</t>
        </is>
      </c>
      <c r="I18" s="16" t="inlineStr">
        <is>
          <t>ГПА №2 выведен в режим «резерв».
Ревизия CDP клапана (Bleed Valve) S/N GRTR7704: наружный осмотр корпуса и привода; демонтаж привода; демонтаж и инспекция элементов корпуса; инспекция штока и элементов поршневого затвора; обратная сборка всех элементов клапана после ревизии. По результатам ревизии подтверждён износ тефлонового уплотнительного кольца поршневого затвора как причина утечки. — Акт выполненных работ  от 04.06.2023 (выполнено)</t>
        </is>
      </c>
    </row>
    <row r="19" ht="95" customHeight="1">
      <c r="A19" s="14" t="inlineStr">
        <is>
          <t>№3 от 07.03.2018</t>
        </is>
      </c>
      <c r="B19" s="15" t="inlineStr">
        <is>
          <t>07.03.2018</t>
        </is>
      </c>
      <c r="C19" s="15" t="inlineStr">
        <is>
          <t>04:58</t>
        </is>
      </c>
      <c r="D19" s="15" t="inlineStr">
        <is>
          <t>ГПА №1</t>
        </is>
      </c>
      <c r="E19" s="15" t="inlineStr">
        <is>
          <t>Автоматический</t>
        </is>
      </c>
      <c r="F19" s="15" t="inlineStr">
        <is>
          <t>Отказ оборудования КИПиА</t>
        </is>
      </c>
      <c r="G19" s="16" t="inlineStr">
        <is>
          <t>Некорректная работа позиционера клапана XV 222 — потеря сигнала обратной связи от позиционера о закрытии клапана, что привело к автоматическому останову ГПА№1. Пуск резервного ГПА№3, восстановление режима работы МГ.</t>
        </is>
      </c>
      <c r="H19" s="16" t="inlineStr">
        <is>
          <t>Заменён позиционер клапана XV 222; выполнен ремонт концевых магнитных датчиков (установлены дополнительные металлические пластины для усиления магнитного эффекта).</t>
        </is>
      </c>
      <c r="I19" s="16" t="inlineStr">
        <is>
          <t>ГПА №1 выведен в «резерв».
Заменён позиционер клапана XV 222; выполнен ремонт концевых магнитных датчиков (установлены дополнительные металлические пластины для усиления магнитного эффекта).</t>
        </is>
      </c>
    </row>
    <row r="20" ht="95" customHeight="1">
      <c r="A20" s="14" t="inlineStr">
        <is>
          <t>№4 от 30.03.2018</t>
        </is>
      </c>
      <c r="B20" s="15" t="inlineStr">
        <is>
          <t>30.03.2018</t>
        </is>
      </c>
      <c r="C20" s="15" t="inlineStr">
        <is>
          <t>13:39</t>
        </is>
      </c>
      <c r="D20" s="15" t="inlineStr">
        <is>
          <t>ГПА №1, ГПА №2</t>
        </is>
      </c>
      <c r="E20" s="15" t="inlineStr">
        <is>
          <t>Автоматический</t>
        </is>
      </c>
      <c r="F20" s="15" t="inlineStr">
        <is>
          <t>Техническая неисправность (вспомогательные системы)</t>
        </is>
      </c>
      <c r="G20" s="16" t="inlineStr">
        <is>
          <t>Самопроизвольное отключение вводного автомата шкафа управления АВО антифриза привело к останову всех вентиляторов охлаждения. В результате температура антифриза выросла с 94°C до 106°C, что вызвало автоматический останов ГПА№1, затем ГПА№2. Пуск резервного ГПЭС№2, пуск ГПА№2,3, восстановление режима работы МГ.</t>
        </is>
      </c>
      <c r="H20" s="16" t="inlineStr">
        <is>
          <t>Произведена замена вводного автомата шкафа управления АВО антифриза на ГПА№1.</t>
        </is>
      </c>
      <c r="I20" s="16" t="inlineStr">
        <is>
          <t>ГПА №1 выведен в «резерв».
Произведена замена вводного автомата шкафа управления АВО антифриза на ГПА№1.</t>
        </is>
      </c>
    </row>
    <row r="21" ht="95" customHeight="1">
      <c r="A21" s="14" t="inlineStr">
        <is>
          <t>№6 от 24.05.2018</t>
        </is>
      </c>
      <c r="B21" s="15" t="inlineStr">
        <is>
          <t>24.05.2018</t>
        </is>
      </c>
      <c r="C21" s="15" t="inlineStr">
        <is>
          <t>11:48</t>
        </is>
      </c>
      <c r="D21" s="15" t="inlineStr">
        <is>
          <t>ГПА №3</t>
        </is>
      </c>
      <c r="E21" s="15" t="inlineStr">
        <is>
          <t>Вынужденный нормальный</t>
        </is>
      </c>
      <c r="F21" s="15" t="inlineStr">
        <is>
          <t>Ложное срабатывание КИП</t>
        </is>
      </c>
      <c r="G21" s="16" t="inlineStr">
        <is>
          <t>Некорректное отображение обратной связи о рабочем положении клапана FCV-780 (Hot bypass), что привело к вынужденному нормальному останову ГПА№3. Пуск резервного ГПА№2, восстановление режима работы МГ.</t>
        </is>
      </c>
      <c r="H21" s="16" t="inlineStr">
        <is>
          <t>Произведена протяжка креплений и механизма концевого выключателя датчика рабочего положения клапана FCV-780 (Hot bypass).</t>
        </is>
      </c>
      <c r="I21" s="16" t="inlineStr">
        <is>
          <t>ГПА №3 выведен в «резерв».
Произведена протяжка креплений и механизма концевого выключателя датчика рабочего положения клапана FCV-780 (Hot bypass).</t>
        </is>
      </c>
    </row>
    <row r="22" ht="95" customHeight="1">
      <c r="A22" s="14" t="inlineStr">
        <is>
          <t>№7 от 28.05.2018</t>
        </is>
      </c>
      <c r="B22" s="15" t="inlineStr">
        <is>
          <t>28.05.2018</t>
        </is>
      </c>
      <c r="C22" s="15" t="inlineStr">
        <is>
          <t>02:20</t>
        </is>
      </c>
      <c r="D22" s="15" t="inlineStr">
        <is>
          <t>ГПА №2</t>
        </is>
      </c>
      <c r="E22" s="15" t="inlineStr">
        <is>
          <t>Вынужденный нормальный</t>
        </is>
      </c>
      <c r="F22" s="15" t="inlineStr">
        <is>
          <t>Отказ оборудования КИПиА</t>
        </is>
      </c>
      <c r="G22" s="16" t="inlineStr">
        <is>
          <t>Отказ датчика температуры (со стороны активного подпятника) TE 403-1, что привело к вынужденному нормальному останову ГПА№2. Пуск резервного ГПА№1, восстановление режима работы МГ.</t>
        </is>
      </c>
      <c r="H22" s="16" t="inlineStr">
        <is>
          <t>Выполнена ревизия проводов и соединений, проверена целостность цепей датчиков температуры TE 403-1A и TE 403-1B в клеммной коробке ТВ3, подключён резервный датчик TE 403-1B, протянуты контактные группы в клеммной коробке.</t>
        </is>
      </c>
      <c r="I22" s="16" t="inlineStr">
        <is>
          <t>ГПА №2 выведен в «резерв».
Выполнена ревизия проводов и соединений, проверена целостность цепей датчиков температуры TE 403-1A и TE 403-1B в клеммной коробке ТВ3, подключён резервный датчик TE 403-1B, протянуты контактные группы в клеммной коробке.</t>
        </is>
      </c>
    </row>
    <row r="23" ht="95" customHeight="1">
      <c r="A23" s="14" t="inlineStr">
        <is>
          <t>№1 от 03.02.2018</t>
        </is>
      </c>
      <c r="B23" s="15" t="inlineStr">
        <is>
          <t>03.02.2018</t>
        </is>
      </c>
      <c r="C23" s="15" t="inlineStr">
        <is>
          <t>03:40</t>
        </is>
      </c>
      <c r="D23" s="15" t="inlineStr">
        <is>
          <t>ГПА №2</t>
        </is>
      </c>
      <c r="E23" s="15" t="inlineStr">
        <is>
          <t>Вынужденный нормальный</t>
        </is>
      </c>
      <c r="F23" s="15" t="inlineStr">
        <is>
          <t>Отказ оборудования КИПиА</t>
        </is>
      </c>
      <c r="G23" s="16" t="inlineStr">
        <is>
          <t>Отказ датчика температуры (со стороны активного подпятника) TE 401-1, что привело к вынужденному нормальному останову ГПА№2. Пуск резервного ГПА№1, восстановление режима работы МГ.</t>
        </is>
      </c>
      <c r="H23" s="16" t="inlineStr">
        <is>
          <t>Выполнена ревизия проводов и соединений, проверена целостность цепей датчиков температуры TE 401-1A и TE 401-1B в клеммной коробке ТВ3, подключён резервный датчик TE 401-1B, протянуты контактные группы в клеммной коробке.</t>
        </is>
      </c>
      <c r="I23" s="16" t="inlineStr">
        <is>
          <t>ГПА №2 выведен в «резерв».
Выполнена ревизия проводов и соединений, проверена целостность цепей датчиков температуры TE 401-1A и TE 401-1B в клеммной коробке ТВ3, подключён резервный датчик TE 401-1B, протянуты контактные группы в клеммной коробке.</t>
        </is>
      </c>
    </row>
    <row r="24" ht="95" customHeight="1">
      <c r="A24" s="14" t="inlineStr">
        <is>
          <t>№2 от 21.02.2018</t>
        </is>
      </c>
      <c r="B24" s="15" t="inlineStr">
        <is>
          <t>21.02.2018</t>
        </is>
      </c>
      <c r="C24" s="15" t="inlineStr">
        <is>
          <t>02:07</t>
        </is>
      </c>
      <c r="D24" s="15" t="inlineStr">
        <is>
          <t>ГПА №1, ГПА №3</t>
        </is>
      </c>
      <c r="E24" s="15" t="inlineStr">
        <is>
          <t>Автоматический</t>
        </is>
      </c>
      <c r="F24" s="15" t="inlineStr">
        <is>
          <t>Техническая неисправность (вспомогательные системы)</t>
        </is>
      </c>
      <c r="G24" s="16" t="inlineStr">
        <is>
          <t>Отказ датчика температуры охлаждающей жидкости ГПЭС№3 привёл к автоматическому останову ГПЭС№3 и последующему автоматическому останову ГПА№1,3. Пуск резервного ГПЭС№1, пуск ГПА№1,3, режим работы МГ восстановлен.</t>
        </is>
      </c>
      <c r="H24" s="16" t="inlineStr">
        <is>
          <t>Произведена замена датчика температуры охлаждающей жидкости на ГПЭС№3.</t>
        </is>
      </c>
      <c r="I24" s="16" t="inlineStr">
        <is>
          <t>ГПЭС №3 выведен в «резерв».
Произведена замена датчика температуры охлаждающей жидкости на ГПЭС№3.</t>
        </is>
      </c>
    </row>
    <row r="25" ht="95" customHeight="1">
      <c r="A25" s="14" t="inlineStr">
        <is>
          <t>№5 от 30.03.2018</t>
        </is>
      </c>
      <c r="B25" s="15" t="inlineStr">
        <is>
          <t>30.03.2018</t>
        </is>
      </c>
      <c r="C25" s="15" t="inlineStr">
        <is>
          <t>14:32</t>
        </is>
      </c>
      <c r="D25" s="15" t="inlineStr">
        <is>
          <t>ГПА №1</t>
        </is>
      </c>
      <c r="E25" s="15" t="inlineStr">
        <is>
          <t>Вынужденный нормальный</t>
        </is>
      </c>
      <c r="F25" s="15" t="inlineStr">
        <is>
          <t>Ложное срабатывание КИП</t>
        </is>
      </c>
      <c r="G25" s="16" t="inlineStr">
        <is>
          <t>Высокие показания датчика вибрации газогенератора VT-457 (225 мм/с) при выходе ГПА№1 в режим холостого хода (обороты ГГ 6800 об/мин) привели к вынужденному нормальному останову. Пуск резервного ГПА№2, восстановление режима работы МГ.</t>
        </is>
      </c>
      <c r="H25" s="16" t="inlineStr">
        <is>
          <t>Выполнена ревизия проводов и соединений, проверка и прозвонка датчика вибрации VT-457 и датчиков стружки синтетического масла. Проведена бороскопическая инспекция газогенератора ГПА№1 согласно рекомендациям GE. Выполнен пробный пуск ГПА№1 в режиме холостого хода (обороты ГГ 6800 об/мин) на 5 минут — отклонений в параметрах ГГ не обнаружено.</t>
        </is>
      </c>
      <c r="I25" s="16" t="inlineStr">
        <is>
          <t>ГПА №1 выведен в «резерв».
Выполнена ревизия проводов и соединений, проверка и прозвонка датчика вибрации VT-457 и датчиков стружки синтетического масла. Проведена бороскопическая инспекция газогенератора ГПА№1 согласно рекомендациям GE. Выполнен пробный пуск ГПА№1 в режиме холостого хода (обороты ГГ 6800 об/мин) на 5 минут — отклонений в параметрах ГГ не обнаружено.</t>
        </is>
      </c>
    </row>
    <row r="26" ht="95" customHeight="1">
      <c r="A26" s="14" t="inlineStr">
        <is>
          <t>№8 от 25.06.2018</t>
        </is>
      </c>
      <c r="B26" s="15" t="inlineStr">
        <is>
          <t>25.06.2018</t>
        </is>
      </c>
      <c r="C26" s="15" t="inlineStr">
        <is>
          <t>09:40</t>
        </is>
      </c>
      <c r="D26" s="15" t="inlineStr">
        <is>
          <t>ГПА №1, ГПА №3</t>
        </is>
      </c>
      <c r="E26" s="15" t="inlineStr">
        <is>
          <t>Автоматический</t>
        </is>
      </c>
      <c r="F26" s="15" t="inlineStr">
        <is>
          <t>Отказ оборудования КИПиА</t>
        </is>
      </c>
      <c r="G26" s="16" t="inlineStr">
        <is>
          <t>Отказ микропроцессора вводного автомата К51-PR122/P ГПЭС№3, что привело к автоматическому останову ГПЭС№3 и последующему автоматическому останову ГПА№1,3. Пуск резервного ГПЭС№1,2, пуск ГПА№1,2, восстановление режима работы МГ.</t>
        </is>
      </c>
      <c r="H26" s="16" t="inlineStr">
        <is>
          <t>Произведена замена микропроцессора вводного автомата К51-PR122/P ГПЭС№3.</t>
        </is>
      </c>
      <c r="I26" s="16" t="inlineStr">
        <is>
          <t>ГПЭС №3 выведен в «резерв».
Произведена замена микропроцессора вводного автомата К51-PR122/P ГПЭС№3.</t>
        </is>
      </c>
    </row>
    <row r="27" ht="95" customHeight="1">
      <c r="A27" s="14" t="inlineStr">
        <is>
          <t>№9 от 26.06.2018</t>
        </is>
      </c>
      <c r="B27" s="15" t="inlineStr">
        <is>
          <t>26.06.2018</t>
        </is>
      </c>
      <c r="C27" s="15" t="inlineStr">
        <is>
          <t>03:04</t>
        </is>
      </c>
      <c r="D27" s="15" t="inlineStr">
        <is>
          <t>ГПА №1, ГПА №2</t>
        </is>
      </c>
      <c r="E27" s="15" t="inlineStr">
        <is>
          <t>Автоматический</t>
        </is>
      </c>
      <c r="F27" s="15" t="inlineStr">
        <is>
          <t>Электросеть / переключение агрегатов</t>
        </is>
      </c>
      <c r="G27" s="16" t="inlineStr">
        <is>
          <t>Ослабление контакта предохранителя CDVR ГПЭС№1 привело к автоматическому останову ГПЭС№1 и последующему автоматическому останову ГПА№1,2. Пуск резервного ГПЭС№2,3, пуск ГПА№1,3, восстановление режима работы МГ.</t>
        </is>
      </c>
      <c r="H27" s="16" t="inlineStr">
        <is>
          <t>Произведена замена предохранительной колодки ГПЭС№1.</t>
        </is>
      </c>
      <c r="I27" s="16" t="inlineStr">
        <is>
          <t>ГПЭС №1 выведен в «резерв».
Произведена замена предохранительной колодки ГПЭС№1.</t>
        </is>
      </c>
    </row>
    <row r="28" ht="95" customHeight="1">
      <c r="A28" s="14" t="inlineStr">
        <is>
          <t>№1 от 31.03.2019</t>
        </is>
      </c>
      <c r="B28" s="15" t="inlineStr">
        <is>
          <t>31.03.2019</t>
        </is>
      </c>
      <c r="C28" s="15" t="inlineStr">
        <is>
          <t>10:13</t>
        </is>
      </c>
      <c r="D28" s="15" t="inlineStr">
        <is>
          <t>ГПА №3</t>
        </is>
      </c>
      <c r="E28" s="15" t="inlineStr">
        <is>
          <t>Вынужденный нормальный</t>
        </is>
      </c>
      <c r="F28" s="15" t="inlineStr">
        <is>
          <t>Отказ оборудования КИПиА</t>
        </is>
      </c>
      <c r="G28" s="16" t="inlineStr">
        <is>
          <t>Кратковременная потеря показаний рабочих параметров ГПА№3, поступающих от модуля ввода/вывода MTL8000 UCP-1, что привело к срабатыванию защиты и переводу ГПА№3 в безопасный режим холостого хода (6800 об/мин). Пуск резервного ГПА№2, восстановление режима работы МГ.</t>
        </is>
      </c>
      <c r="H28" s="16" t="inlineStr">
        <is>
          <t>Выполнена переборка узла крепления несущих плат блока модулей ввода/вывода MTL8000 UCP-1 ГПА№3.
Повреждено: Отсутствует</t>
        </is>
      </c>
      <c r="I28" s="16" t="inlineStr">
        <is>
          <t>ГПА №3 выведен в «резерв».
Выполнена переборка узла крепления несущих плат блока модулей ввода/вывода MTL8000 UCP-1 ГПА№3.</t>
        </is>
      </c>
    </row>
    <row r="29" ht="95" customHeight="1">
      <c r="A29" s="14" t="inlineStr">
        <is>
          <t>№2 от 13.04.2019</t>
        </is>
      </c>
      <c r="B29" s="15" t="inlineStr">
        <is>
          <t>13.04.2019</t>
        </is>
      </c>
      <c r="C29" s="15" t="inlineStr">
        <is>
          <t>05:50</t>
        </is>
      </c>
      <c r="D29" s="15" t="inlineStr">
        <is>
          <t>ГПА №1, ГПА №2, ГПА №3</t>
        </is>
      </c>
      <c r="E29" s="15" t="inlineStr">
        <is>
          <t>Автоматический</t>
        </is>
      </c>
      <c r="F29" s="15" t="inlineStr">
        <is>
          <t>Электросеть / переключение агрегатов</t>
        </is>
      </c>
      <c r="G29" s="16" t="inlineStr">
        <is>
          <t>В 05:50 обнаружен хлопок и отключение шкафа ИБП№1 (ошибка «ABUS communication failure»). Работа ИБП№2 в режиме «байпас» привела к скачкам напряжения и срабатыванию пассивной защиты станции, что вызвало отключение шкафов сигнализации ПиГ, коммуникационного оборудования, серверов SCADA и GE, шкафа управления ИБП№2, автоматическое срабатывание ESD-III и закрытие кранов ESDV1101, ESDV1201, ESDV1102, ESDV1202. По распоряжению АКЦ стравлен контур технологического газа ГПА№1,2,3. Согласно дефектному акту №11/19 от 16.04.2019 вышли из строя радиоэлектронные компоненты ИБП№1 (резистор, повлекший выход из строя транзисторов в блоке управления).</t>
        </is>
      </c>
      <c r="H29" s="16" t="inlineStr">
        <is>
          <t>Проведена инспекция ИБП№1 совместно с сотрудниками служб ЭВС, ЭХЗ КС-1 и УТГ «Шымкент». Установлена временная перемычка электропитания на аккумуляторные батареи ИБП№2 от батарей ИБП№1, восстановлено электропитание коммуникационного оборудования, серверов SCADA и GE. Выполнены сброс аварийных сигналов, форсировка АДЭС, последовательный пуск ГПЭС№2,3, пуск ГПА№1,2,3 и котла-утилизатора №2.
Повреждено: Радиоэлектронные компоненты ИБП№1 (резистор, транзисторы в блоке управления) — согласно дефектному акту №11/19 от 16.04.2019</t>
        </is>
      </c>
      <c r="I29" s="16" t="inlineStr">
        <is>
          <t>ИБП №1 выведен в ремонт.
Проведена инспекция ИБП№1 совместно с сотрудниками служб ЭВС, ЭХЗ КС-1 и УТГ «Шымкент». Установлена временная перемычка электропитания на аккумуляторные батареи ИБП№2 от батарей ИБП№1, восстановлено электропитание коммуникационного оборудования, серверов SCADA и GE. Выполнены сброс аварийных сигналов, форсировка АДЭС, последовательный пуск ГПЭС№2,3, пуск ГПА№1,2,3 и котла-утилизатора №2.</t>
        </is>
      </c>
    </row>
    <row r="30" ht="95" customHeight="1">
      <c r="A30" s="14" t="inlineStr">
        <is>
          <t>№3 от 20.04.2019</t>
        </is>
      </c>
      <c r="B30" s="15" t="inlineStr">
        <is>
          <t>20.04.2019</t>
        </is>
      </c>
      <c r="C30" s="15" t="inlineStr">
        <is>
          <t>17:20</t>
        </is>
      </c>
      <c r="D30" s="15" t="inlineStr">
        <is>
          <t>ГПА №1, ГПА №2</t>
        </is>
      </c>
      <c r="E30" s="15" t="inlineStr">
        <is>
          <t>Автоматический</t>
        </is>
      </c>
      <c r="F30" s="15" t="inlineStr">
        <is>
          <t>Электросеть / переключение агрегатов</t>
        </is>
      </c>
      <c r="G30" s="16" t="inlineStr">
        <is>
          <t>При переключении ГПЭС с №2 на №3 ведущий инженер ЭВС и ЭХЗ ошибочно перевёл тумблер панели рабочего ГПЭС№2 (находившегося в режиме «Ручной») в режим «Авто», что привело к сбросу нагрузки с ГПЭС№2. При повторной синхронизации нагрузка не была полностью передана на ГПЭС№2, что привело к автоматическому останову ГПА№1,2. Дана нагрузка на ГПЭС№2, восстановлена цепь электропитания на МСС. Выполнен пуск ГПА№3, затем ГПА№1.</t>
        </is>
      </c>
      <c r="H30" s="16" t="inlineStr">
        <is>
          <t xml:space="preserve">
Повреждено: Не обнаружено</t>
        </is>
      </c>
      <c r="I30" s="16" t="inlineStr">
        <is>
          <t xml:space="preserve">ГПЭС №2 выведен в режим работы, АДЭС выведен в резерв. ГПА №1 в работе, ГПА №2 в резерве.
</t>
        </is>
      </c>
    </row>
    <row r="31" ht="95" customHeight="1">
      <c r="A31" s="14" t="inlineStr">
        <is>
          <t>№4 от 08.05.2019</t>
        </is>
      </c>
      <c r="B31" s="15" t="inlineStr">
        <is>
          <t>08.05.2019</t>
        </is>
      </c>
      <c r="C31" s="15" t="inlineStr">
        <is>
          <t>05:01</t>
        </is>
      </c>
      <c r="D31" s="15" t="inlineStr">
        <is>
          <t>ГПА №3</t>
        </is>
      </c>
      <c r="E31" s="15" t="inlineStr">
        <is>
          <t>Автоматический</t>
        </is>
      </c>
      <c r="F31" s="15" t="inlineStr">
        <is>
          <t>Отказ оборудования КИПиА</t>
        </is>
      </c>
      <c r="G31" s="16" t="inlineStr">
        <is>
          <t>Потеря связи между Mark VIe и контроллером системы пожаротушения HIMatrix F35 01030 вызвала сигнал «HIMA FIRE FIGHTING CPUA UCP2 – HEARTBEAT FAILURE ALARM», что привело к автоматическому останову ГПА№3 со стравливанием контура. Пуск резервного ГПА№2, восстановление режима работы МГ.</t>
        </is>
      </c>
      <c r="H31" s="16" t="inlineStr">
        <is>
          <t>Изменены параметры программного обеспечения в контроллерах безопасности Safety CPU A/B и пожаротушения FF CPU A/B системы HIMatrix, устранена неполадка резервирования центральных процессоров.</t>
        </is>
      </c>
      <c r="I31" s="16" t="inlineStr">
        <is>
          <t>ГПА №3 выведен в «резерв».
Изменены параметры программного обеспечения в контроллерах безопасности Safety CPU A/B и пожаротушения FF CPU A/B системы HIMatrix, устранена неполадка резервирования центральных процессоров.</t>
        </is>
      </c>
    </row>
    <row r="32" ht="95" customHeight="1">
      <c r="A32" s="14" t="inlineStr">
        <is>
          <t>№5 от 18.06.2019</t>
        </is>
      </c>
      <c r="B32" s="15" t="inlineStr">
        <is>
          <t>18.06.2019</t>
        </is>
      </c>
      <c r="C32" s="15" t="inlineStr">
        <is>
          <t>20:10</t>
        </is>
      </c>
      <c r="D32" s="15" t="inlineStr">
        <is>
          <t>ГПА №1, ГПА №3</t>
        </is>
      </c>
      <c r="E32" s="15" t="inlineStr">
        <is>
          <t>Вынужденный нормальный</t>
        </is>
      </c>
      <c r="F32" s="15" t="inlineStr">
        <is>
          <t>Электросеть / переключение агрегатов</t>
        </is>
      </c>
      <c r="G32" s="16" t="inlineStr">
        <is>
          <t>При проведении работ на ИБП№1 после его перезагрузки произошёл хлопок и отключение, отключились автоматы ИБП№1. При проверке контроллера ИБП№1 отключился инвертор ИБП№2, статический байпас не сработал, отключились серверы SCADA и HMI GE, что привело к потере управления работающими ГПА№1,3, вследствие чего произведён их вынужденный останов кнопками ESD I. Выявлен выход из строя предохранителей ИБП№1 (10 шт. по 5 шт. на модуль) вследствие короткого замыкания, а также 2 силовых модулей SUVT/PXP 400V и платы управления ИБП№1.</t>
        </is>
      </c>
      <c r="H32" s="16" t="inlineStr">
        <is>
          <t>ИБП№2 переведён из режима «авто» в «байпас». Выровнено давление и сброшены сигналы ESD I, открыты входные и выходные краны КС на УЗПОУ. Выполнен пуск ГПА№1, затем ГПА№2. Демонтированы силовые модули ИБП№1 (2 шт.) для замены.
Повреждено: Предохранители ИБП№1 (10 шт. по 5 шт. на модуль), 2 силовых модуля типа SUVT/PXP 400V (P/N: 0640-4928F Rev.08), плата управления P/N: 640-2552 Rev.01 ИБП№1</t>
        </is>
      </c>
      <c r="I32" s="16" t="inlineStr">
        <is>
          <t>ИБП №1 выведен в ремонт, ИБП №2 в работе.
ИБП№2 переведён из режима «авто» в «байпас». Выровнено давление и сброшены сигналы ESD I, открыты входные и выходные краны КС на УЗПОУ. Выполнен пуск ГПА№1, затем ГПА№2. Демонтированы силовые модули ИБП№1 (2 шт.) для замены.</t>
        </is>
      </c>
    </row>
    <row r="33" ht="95" customHeight="1">
      <c r="A33" s="14" t="inlineStr">
        <is>
          <t>№6 от 21.07.2019</t>
        </is>
      </c>
      <c r="B33" s="15" t="inlineStr">
        <is>
          <t>21.07.2019</t>
        </is>
      </c>
      <c r="C33" s="15" t="inlineStr">
        <is>
          <t>10:24</t>
        </is>
      </c>
      <c r="D33" s="15" t="inlineStr">
        <is>
          <t>ГПА №2, ГПА №3</t>
        </is>
      </c>
      <c r="E33" s="15" t="inlineStr">
        <is>
          <t>Автоматический</t>
        </is>
      </c>
      <c r="F33" s="15" t="inlineStr">
        <is>
          <t>Электросеть / переключение агрегатов</t>
        </is>
      </c>
      <c r="G33" s="16" t="inlineStr">
        <is>
          <t>Снижение перепада давления внутри кожуха газогенератора после потери напряжения от вводного автомата 15GDG-002 на ЗРУ 0,4 кВ. Сработала защита по току и отключила автоматический выключатель 15GDG-002 вследствие короткого замыкания силовой сети внутри кожуха, вызванного повреждением изоляции кабеля самодельного нагрузочного модуля НУ-640. АДЭС автоматически не запустился, так как ГПЭС№2 оставался в рабочем состоянии, что привело к автоматическому останову ГПА№2,3.</t>
        </is>
      </c>
      <c r="H33" s="16" t="inlineStr">
        <is>
          <t>Проведена инспекция на наличие дефектов НУ-640 совместно с сотрудниками служб ЭВС, ЭХЗ УТГ «Шымкент». Обнаружен и устранён дефект кабеля от вводного автомата 1000А нагрузочного модуля НУ-640, автоматический выключатель заменён на 125А.</t>
        </is>
      </c>
      <c r="I33" s="16" t="inlineStr">
        <is>
          <t>ГПЭС №2 выведен в режим «резерв».
Проведена инспекция на наличие дефектов НУ-640 совместно с сотрудниками служб ЭВС, ЭХЗ УТГ «Шымкент». Обнаружен и устранён дефект кабеля от вводного автомата 1000А нагрузочного модуля НУ-640, автоматический выключатель заменён на 125А.</t>
        </is>
      </c>
    </row>
    <row r="34" ht="95" customHeight="1">
      <c r="A34" s="14" t="inlineStr">
        <is>
          <t>№1 от 25.04.2025</t>
        </is>
      </c>
      <c r="B34" s="15" t="inlineStr">
        <is>
          <t>25.04.2025</t>
        </is>
      </c>
      <c r="C34" s="15" t="inlineStr">
        <is>
          <t>04:37</t>
        </is>
      </c>
      <c r="D34" s="15" t="inlineStr">
        <is>
          <t>ГПА №1</t>
        </is>
      </c>
      <c r="E34" s="15" t="inlineStr">
        <is>
          <t>Автоматический</t>
        </is>
      </c>
      <c r="F34" s="15" t="inlineStr">
        <is>
          <t>Отказ оборудования КИПиА</t>
        </is>
      </c>
      <c r="G34" s="16" t="inlineStr">
        <is>
          <t>При нормальной работе ГПА№1 поступили сигналы автоматического останова «EMV DeviceNet Card Comms Failure Shutdown», «Central Metering Valve Failure Shutdown», «Primary Metering Valve Failure Shutdown», «Secondary Metering Valve Failure Shutdown». Причиной послужила кратковременная потеря связи контроллера ECS с контроллерами MOOG DS2000XP, управляющими топливными клапанами Central, Primary, Secondary.</t>
        </is>
      </c>
      <c r="H34" s="16" t="inlineStr">
        <is>
          <t>Визуальный осмотр панелей управления TLCP, UCP. Перезагрузка контроллеров управления клапанами Moog EMV. Перезагрузка модуля DeviceNet системы ECS в шкафу UCP. Проверка хода топливных клапанов (в норме). Протяжка контактов TLCP, Moog EMV.</t>
        </is>
      </c>
      <c r="I34" s="16" t="inlineStr">
        <is>
          <t>В действиях оперативного персонала ошибок не выявлено.
Визуальный осмотр панелей управления TLCP, UCP. Перезагрузка контроллеров управления клапанами Moog EMV. Перезагрузка модуля DeviceNet системы ECS в шкафу UCP. Проверка хода топливных клапанов (в норме). Протяжка контактов TLCP, Moog EMV.</t>
        </is>
      </c>
    </row>
    <row r="35" ht="95" customHeight="1">
      <c r="A35" s="14" t="inlineStr">
        <is>
          <t>№2 от 02.07.2025</t>
        </is>
      </c>
      <c r="B35" s="15" t="inlineStr">
        <is>
          <t>02.07.2025</t>
        </is>
      </c>
      <c r="C35" s="15" t="inlineStr">
        <is>
          <t>12:15</t>
        </is>
      </c>
      <c r="D35" s="15" t="inlineStr">
        <is>
          <t>ГПА №1, ГПА №3</t>
        </is>
      </c>
      <c r="E35" s="15" t="inlineStr">
        <is>
          <t>Автоматический</t>
        </is>
      </c>
      <c r="F35" s="15" t="inlineStr">
        <is>
          <t>Электросеть / переключение агрегатов</t>
        </is>
      </c>
      <c r="G35" s="16" t="inlineStr">
        <is>
          <t>02.07.2025 в 12:15 произошёл авто останов ГПЭС№1 по сигналу «AL4» «ОБЩАЯ НЕИСПРАВНОСТЬ». В 12:15 включился в работу АДЭС. В 12:20 произведён пуск ГПЭС№2, восстановлено электроснабжение станции КС-2 и ВП. В 12:21 нормальный останов АДЭС. Диагностика Caterpillar Electronic Technician зафиксировала код ошибки E402(3): детонация в цилиндре №2 двигателя ГПЭС№1, что привело к её аварийной остановке и, как следствие, к автоматическому отключению работающих ГПА№1 и №3.</t>
        </is>
      </c>
      <c r="H35" s="16" t="inlineStr">
        <is>
          <t>Компьютерная диагностика ГПЭС№1 (Caterpillar Electronic Technician). Бороскопическая инспекция цилиндра №2 — повреждений и дефектов не обнаружено. Разборка крышки цилиндра, проверка тепловых зазоров клапанов — в пределах нормы. Проверка свечи зажигания цилиндра №2 — обнаружено значительное количество углеродистых отложений и незначительное механическое повреждение (скол).</t>
        </is>
      </c>
      <c r="I35" s="16" t="inlineStr">
        <is>
          <t>В действиях оперативного персонала ошибок не выявлено.
Компьютерная диагностика ГПЭС№1 (Caterpillar Electronic Technician). Бороскопическая инспекция цилиндра №2 — повреждений и дефектов не обнаружено. Разборка крышки цилиндра, проверка тепловых зазоров клапанов — в пределах нормы. Проверка свечи зажигания цилиндра №2 — обнаружено значительное количество углеродистых отложений и незначительное механическое повреждение (скол).</t>
        </is>
      </c>
    </row>
    <row r="36" ht="95" customHeight="1">
      <c r="A36" s="14" t="inlineStr">
        <is>
          <t>№3 от 12.07.2025</t>
        </is>
      </c>
      <c r="B36" s="15" t="inlineStr">
        <is>
          <t>12.07.2025</t>
        </is>
      </c>
      <c r="C36" s="15" t="inlineStr">
        <is>
          <t>01:32</t>
        </is>
      </c>
      <c r="D36" s="15" t="inlineStr">
        <is>
          <t>ГПА №1</t>
        </is>
      </c>
      <c r="E36" s="15" t="inlineStr">
        <is>
          <t>Автоматический</t>
        </is>
      </c>
      <c r="F36" s="15" t="inlineStr">
        <is>
          <t>Отказ оборудования КИПиА</t>
        </is>
      </c>
      <c r="G36" s="16" t="inlineStr">
        <is>
          <t>12.07.2025 в 1:32 поступил сигнал автоматического останова «Central Metering Valve Failure Shutdown» EC1_LSS65UC044. На ГПА-1 был произведён монтаж модернизированных контроллеров HC-DRIVER вместо MOOG DS2000XP, в связи с чем возможна некорректная работа логики или механической части заменённого контроллера HC-DRIVER (Central).</t>
        </is>
      </c>
      <c r="H36" s="16" t="inlineStr">
        <is>
          <t>Визуальный осмотр панелей управления TLCP, UCP. Перезагрузка контроллера управления клапаном HC-DRIVER EMV Central. Перезагрузка модуля DeviceNet системы ECS в шкафу UCP. Проверка хода топливных клапанов (в норме). Протяжка контактов TLCP, HC-DRIVER EMV, клеммных соединений реле безопасности 3FFSE, кабелей клапана Central топливной линии.</t>
        </is>
      </c>
      <c r="I36" s="16" t="inlineStr">
        <is>
          <t>В действиях оперативного персонала ошибок не выявлено.
Визуальный осмотр панелей управления TLCP, UCP. Перезагрузка контроллера управления клапаном HC-DRIVER EMV Central. Перезагрузка модуля DeviceNet системы ECS в шкафу UCP. Проверка хода топливных клапанов (в норме). Протяжка контактов TLCP, HC-DRIVER EMV, клеммных соединений реле безопасности 3FFSE, кабелей клапана Central топливной линии.</t>
        </is>
      </c>
    </row>
    <row r="37" ht="95" customHeight="1">
      <c r="A37" s="14" t="inlineStr">
        <is>
          <t>№4 от 24.07.2025</t>
        </is>
      </c>
      <c r="B37" s="15" t="inlineStr">
        <is>
          <t>24.07.2025</t>
        </is>
      </c>
      <c r="C37" s="15" t="inlineStr">
        <is>
          <t>03:04</t>
        </is>
      </c>
      <c r="D37" s="15" t="inlineStr">
        <is>
          <t>ГПА №2, ГПА №3</t>
        </is>
      </c>
      <c r="E37" s="15" t="inlineStr">
        <is>
          <t>Автоматический</t>
        </is>
      </c>
      <c r="F37" s="15" t="inlineStr">
        <is>
          <t>Отказ оборудования КИПиА</t>
        </is>
      </c>
      <c r="G37" s="16" t="inlineStr">
        <is>
          <t>24.07.2025 в 03:04 произошёл авто останов ГПЭС№3 по сигналам «262-3» (источник питания 5В для датчиков показывает напряжение выше нормы), «336-2» (переключатель управления двигателем: хаотичный, прерывистый или неисправный) и «100-2» (датчик давления масла в двигателе: хаотичный, прерывистый или неверный), обнаруженным программой Caterpillar Electronic Technician. Измерение напряжения датчиков давления масла до и после фильтров показало 12 вольт вместо требуемых по схеме генератора Caterpillar G3516C GZC1-UP 5 вольт. На аналогичных датчиках исправной резервной ГПЭС напряжение соответствует норме (5В). Установлено, что модуль управления электроникой двигателя (парт-номер CAT 348-2392) неисправен.</t>
        </is>
      </c>
      <c r="H37" s="16" t="inlineStr">
        <is>
          <t>Компьютерная диагностика ГПЭС№3 (Caterpillar Electronic Technician). Измерение напряжения на датчиках давления масла до и после фильтров. Сравнение показаний с аналогичными датчиками исправной резервной ГПЭС.
Повреждено: Модуль управления электроникой двигателя CAT 348-2392 — неисправен, требуется замена</t>
        </is>
      </c>
      <c r="I37" s="16" t="inlineStr">
        <is>
          <t>В действиях оперативного персонала ошибок не выявлено.
Компьютерная диагностика ГПЭС№3 (Caterpillar Electronic Technician). Измерение напряжения на датчиках давления масла до и после фильтров. Сравнение показаний с аналогичными датчиками исправной резервной ГПЭС.</t>
        </is>
      </c>
    </row>
    <row r="38" ht="95" customHeight="1">
      <c r="A38" s="14" t="inlineStr">
        <is>
          <t>№5 от 03.08.2025</t>
        </is>
      </c>
      <c r="B38" s="15" t="inlineStr">
        <is>
          <t>03.08.2025</t>
        </is>
      </c>
      <c r="C38" s="15" t="inlineStr">
        <is>
          <t>14:52</t>
        </is>
      </c>
      <c r="D38" s="15" t="inlineStr">
        <is>
          <t>ГПА №1, ГПА №3</t>
        </is>
      </c>
      <c r="E38" s="15" t="inlineStr">
        <is>
          <t>Автоматический</t>
        </is>
      </c>
      <c r="F38" s="15" t="inlineStr">
        <is>
          <t>Электросеть / переключение агрегатов</t>
        </is>
      </c>
      <c r="G38" s="16" t="inlineStr">
        <is>
          <t>03.08.2025 в 14:52 произошёл авто останов ГПЭС№2 по сигналу «AL4» «ОБЩАЯ НЕИСПРАВНОСТЬ». В 14:52 включился АДЭС, в 14:55 произведён пуск ГПЭС№1, восстановлено электроснабжение станции КС-2 и ВП, произведён нормальный останов АДЭС. Диагностика Caterpillar Electronic Technician зафиксировала код ошибки E402(3): детонация в цилиндре №1 двигателя ГПЭС№2, что привело к её аварийной остановке и, как следствие, к автоматическому отключению работающих ГПА№1 и №3.</t>
        </is>
      </c>
      <c r="H38" s="16" t="inlineStr">
        <is>
          <t>Компьютерная диагностика ГПЭС№2 (Caterpillar Electronic Technician). Бороскопическая инспекция цилиндра №1 — повреждений и дефектов не обнаружено. Проверка свечи зажигания цилиндра №1 — обнаружено значительное количество углеродистых отложений и незначительное механическое повреждение (скол).</t>
        </is>
      </c>
      <c r="I38" s="16" t="inlineStr">
        <is>
          <t>В действиях оперативного персонала ошибок не выявлено.
Компьютерная диагностика ГПЭС№2 (Caterpillar Electronic Technician). Бороскопическая инспекция цилиндра №1 — повреждений и дефектов не обнаружено. Проверка свечи зажигания цилиндра №1 — обнаружено значительное количество углеродистых отложений и незначительное механическое повреждение (скол).</t>
        </is>
      </c>
    </row>
    <row r="39" ht="95" customHeight="1">
      <c r="A39" s="14" t="inlineStr">
        <is>
          <t>№6 от 07.08.2025</t>
        </is>
      </c>
      <c r="B39" s="15" t="inlineStr">
        <is>
          <t>07.08.2025</t>
        </is>
      </c>
      <c r="C39" s="15" t="inlineStr">
        <is>
          <t>13:14</t>
        </is>
      </c>
      <c r="D39" s="15" t="inlineStr">
        <is>
          <t>ГПА №1</t>
        </is>
      </c>
      <c r="E39" s="15" t="inlineStr">
        <is>
          <t>Автоматический</t>
        </is>
      </c>
      <c r="F39" s="15" t="inlineStr">
        <is>
          <t>Отказ оборудования КИПиА</t>
        </is>
      </c>
      <c r="G39" s="16" t="inlineStr">
        <is>
          <t>07.08.2025 в 13:14 поступил сигнал автоматического останова «Secondary Metering Valve Failure Shutdown» EC1_LSS65UC046. На ГПА-1 ранее были установлены модернизированные контроллеры HC-DRIVER вместо MOOG DS2000XP. В ходе выяснения причины выявлен неисправный контроллер HC-Drive (Secondary) S\N 0030.</t>
        </is>
      </c>
      <c r="H39" s="16" t="inlineStr">
        <is>
          <t>Произведена замена модернизированного контроллера HC-Drive на MOOG DS2000XP, который стоял до модернизации, в связи с некорректной работой HC-Drive S\N 0030 (Secondary). Визуальный осмотр панелей TLCP, UCP. Перезагрузка модуля DeviceNet системы ECS в шкафу UCP. Проверка хода топливных клапанов (в норме). Протяжка контактов TLCP, EMV, клеммных соединений реле безопасности 3FFSE, кабелей клапана Secondary топливной линии.
Повреждено: Контроллер HC-Drive (Secondary) S\N 0030 — неисправен, заменён на MOOG DS2000XP</t>
        </is>
      </c>
      <c r="I39" s="16" t="inlineStr">
        <is>
          <t>В действиях оперативного персонала ошибок не выявлено.
Произведена замена модернизированного контроллера HC-Drive на MOOG DS2000XP, который стоял до модернизации, в связи с некорректной работой HC-Drive S\N 0030 (Secondary). Визуальный осмотр панелей TLCP, UCP. Перезагрузка модуля DeviceNet системы ECS в шкафу UCP. Проверка хода топливных клапанов (в норме). Протяжка контактов TLCP, EMV, клеммных соединений реле безопасности 3FFSE, кабелей клапана Secondary топливной линии.</t>
        </is>
      </c>
    </row>
    <row r="40" ht="95" customHeight="1">
      <c r="A40" s="14" t="inlineStr">
        <is>
          <t>№7 от 08.08.2025</t>
        </is>
      </c>
      <c r="B40" s="15" t="inlineStr">
        <is>
          <t>08.08.2025</t>
        </is>
      </c>
      <c r="C40" s="15" t="inlineStr">
        <is>
          <t>14:35</t>
        </is>
      </c>
      <c r="D40" s="15" t="inlineStr">
        <is>
          <t>ГПА №3</t>
        </is>
      </c>
      <c r="E40" s="15" t="inlineStr">
        <is>
          <t>Автоматический</t>
        </is>
      </c>
      <c r="F40" s="15" t="inlineStr">
        <is>
          <t>Человеческий фактор</t>
        </is>
      </c>
      <c r="G40" s="16" t="inlineStr">
        <is>
          <t>08.08.2025 в 14:35 поступил сигнал активации кнопки аварийного останова ESD-3 (тег CS2-29SB1101) в зоне УЗПОУ-2, где в это время проводились работы подрядной организации АО ИЦА (гидроизоляция фундаментов ограждения). Сотрудники АО ИЦА не сообщили диспетчеру КС-2 о начале работ и об обнаруженном ложном срабатывании светозвукового извещателя системы газовой сигнализации (вызванном кратковременным сбоем газоанализатора CS2-29QT-1102), чем нарушили условия договора (пункт 5.4.7). При осмотре кнопка ESD-3 была обнаружена в активированном состоянии.</t>
        </is>
      </c>
      <c r="H40" s="16" t="inlineStr">
        <is>
          <t>Деактивация кнопки системы аварийной защиты ESD-3. Проверка логики работы системы ПАЗ (ESD) — замечаний не выявлено. Кнопка приведена в исходное состояние, произведён запуск ГПА-3.</t>
        </is>
      </c>
      <c r="I40" s="16" t="inlineStr">
        <is>
          <t>В действиях оперативного персонала КС-2 ошибок не выявлено. Активация сигнала ESD-3 произведена сотрудниками подрядной организации АО ИЦА, грубо нарушившими правила техники безопасности и условия договора.
Деактивация кнопки системы аварийной защиты ESD-3. Проверка логики работы системы ПАЗ (ESD) — замечаний не выявлено. Кнопка приведена в исходное состояние, произведён запуск ГПА-3.</t>
        </is>
      </c>
    </row>
    <row r="41" ht="95" customHeight="1">
      <c r="A41" s="14" t="inlineStr">
        <is>
          <t>№8 от 14.09.2025</t>
        </is>
      </c>
      <c r="B41" s="15" t="inlineStr">
        <is>
          <t>14.09.2025</t>
        </is>
      </c>
      <c r="C41" s="15" t="inlineStr">
        <is>
          <t>11:01</t>
        </is>
      </c>
      <c r="D41" s="15" t="inlineStr">
        <is>
          <t>ГПА №3</t>
        </is>
      </c>
      <c r="E41" s="15" t="inlineStr">
        <is>
          <t>Вынужденный нормальный</t>
        </is>
      </c>
      <c r="F41" s="15" t="inlineStr">
        <is>
          <t>Технологическое ограничение при переключении</t>
        </is>
      </c>
      <c r="G41" s="16" t="inlineStr">
        <is>
          <t>Согласно заявке на выполнение работ был произведён запуск ГПА№3 для переключения с ГПА№1. В процессе прогрева ГПА№3 обороты на ГПА№1 снижались с 4300 до 3800 об/мин, запас помпажа составил 11%. При достижении минимальной нагрузки на ГПА№1 (3120 об/мин) из-за низкого объёма транспортируемого газа произошло постепенное открытие антипомпажного клапана. ГПА№1 выведен в холостой ход и затем в нормальный останов; на ГПА№3 начали поднимать обороты для скорейшего закрытия антипомпажного клапана. В процессе закрытия клапана и подъёма оборотов замечено повышение температуры газа на выходе ГПА. При оборотах 3900 об/мин на ГПА№3 антипомпажный клапан закрыт на 80%, поступил предупредительный сигнал о достижении первого порога повышения температуры газа на выходе (75°C). Принято решение о вынужденном нормальном останове ГПА№3.</t>
        </is>
      </c>
      <c r="H41" s="16" t="inlineStr">
        <is>
          <t>Вынужденный нормальный останов ГПА№3 (ВНО) и перепуск ГПА№1. Запуск ГПА№1 произведён в 11:01.</t>
        </is>
      </c>
      <c r="I41" s="16" t="inlineStr">
        <is>
          <t>В 15:00 произведено переключение с ГПА№1 на ГПА№3. Замечаний нет.
Вынужденный нормальный останов ГПА№3 (ВНО) и перепуск ГПА№1. Запуск ГПА№1 произведён в 11:01.</t>
        </is>
      </c>
    </row>
    <row r="42" ht="95" customHeight="1">
      <c r="A42" s="14" t="inlineStr">
        <is>
          <t>№10 от 18.11.2025</t>
        </is>
      </c>
      <c r="B42" s="15" t="inlineStr">
        <is>
          <t>18.11.2025</t>
        </is>
      </c>
      <c r="C42" s="15" t="inlineStr">
        <is>
          <t>09:40</t>
        </is>
      </c>
      <c r="D42" s="15" t="inlineStr">
        <is>
          <t>ГПА №1</t>
        </is>
      </c>
      <c r="E42" s="15" t="inlineStr">
        <is>
          <t>Автоматический</t>
        </is>
      </c>
      <c r="F42" s="15" t="inlineStr">
        <is>
          <t>Отказ оборудования КИПиА</t>
        </is>
      </c>
      <c r="G42" s="16" t="inlineStr">
        <is>
          <t>18.11.2025 в 09:40 произошёл автоматический останов ГПА№1 без стравливания контура. На панели HMI зафиксирован сигнал аварийного останова PC1-LSS33PG1I «Anti-Surge Isolation Valve Travel Fail» («Неисправность изоляционного клапана MOV-4101», потеря статуса положения крана). Автоматический останов был вызван потерей обратной связи по положению электроприводного крана MOV-4101, что привело к формированию сигнала о неисправности изоляционного клапана и срабатыванию защиты. Осмотр контактных соединений в клеммном блоке и магнитном пускателе, а также проверка панели управления MOV-4101 ошибок и ослабленных зажимов не выявили. Проверка дистанционного открытия/закрытия электроприводного крана замечаний не выявила.</t>
        </is>
      </c>
      <c r="H42" s="16" t="inlineStr">
        <is>
          <t>Осмотр электропривода MOV-4101 (ослабление контактных соединений, целостность составных частей привода, наличие ошибок на панели управления) — не выявлено. Проверка дистанционного открытия и закрытия электроприводного крана — замечаний не выявлено. 18.11.2025 в 11:13 осуществлён повторный пуск ГПА№1.</t>
        </is>
      </c>
      <c r="I42" s="16" t="inlineStr">
        <is>
          <t>После повторного останова 19.11.2025 (по аналогичной ошибке) выполнена полная ревизия блока управления AUMATIC по частям (клеммные соединения, прозвонка всех цепей контроля и управления), осмотр платы на дефекты (некачественные пайки, повреждённые дорожки, следы горения, вздутые конденсаторы, трещины — не обнаружено, обрывов проводов нет), настройка и регулировка рабочих параметров привода, дополнительная диагностика цепей обратной связи, включая проверку сигналов положения, напряжения питания и целостности клеммных соединений в шкафу CLCP и на стороне привода, проверка протяжки клеммных зажимов, целостности кабеля и герметизации на соединительной коробке JB и в шкафу CLCP. Выполнена замена модуля цифрового ввода Allen-Bradley 1794-IB16 FLEX (тег №2NO50) в шкафу CLCP для дополнительного подтверждения исправности входных цепей и предотвращения повторения отказа.
Осмотр электропривода MOV-4101 (ослабление контактных соединений, целостность составных частей привода, наличие ошибок на панели управления) — не выявлено. Проверка дистанционного открытия и закрытия электроприводного крана — замечаний не выявлено. 18.11.2025 в 11:13 осуществлён повторный пуск ГПА№1.</t>
        </is>
      </c>
    </row>
    <row r="43" ht="95" customHeight="1">
      <c r="A43" s="14" t="inlineStr">
        <is>
          <t>№10 от 19.11.2025</t>
        </is>
      </c>
      <c r="B43" s="15" t="inlineStr">
        <is>
          <t>19.11.2025</t>
        </is>
      </c>
      <c r="C43" s="15" t="inlineStr">
        <is>
          <t>09:08</t>
        </is>
      </c>
      <c r="D43" s="15" t="inlineStr">
        <is>
          <t>ГПА №1</t>
        </is>
      </c>
      <c r="E43" s="15" t="inlineStr">
        <is>
          <t>Автоматический</t>
        </is>
      </c>
      <c r="F43" s="15" t="inlineStr">
        <is>
          <t>Отказ оборудования КИПиА</t>
        </is>
      </c>
      <c r="G43" s="16" t="inlineStr">
        <is>
          <t>19.11.2025 в 09:08 произошёл повторный автоматический останов ГПА№1 без стравливания контура по аналогичной ошибке, что и 18.11.2025. На панель HMI поступил сигнал аварийного останова PC1-LSS33PG1I «Anti-Surge Isolation Valve Travel Fail» — «Неисправность изоляционного клапана MOV-4101» (потеря статуса положения крана).</t>
        </is>
      </c>
      <c r="H43" s="16" t="inlineStr">
        <is>
          <t>Выполнена полная ревизия блока управления AUMATIC по частям: проверка клеммных соединений, прозвонка всех схем цепи контроля и управления (штифтовые и гнездовые контакты цепи управления и электродвигателя, соединительная плата шины, реверсивные пускатели, блок выключателей направления ОТКРЫТИЕ/ЗАКРЫТИЕ). Осмотр платы на дефекты — не обнаружено. Настройка и регулировка рабочих параметров привода, дополнительная диагностика цепей обратной связи электропривода MOV-4101. Проверка протяжки клеммных зажимов, целостности кабеля и герметизации на соединительной коробке JB и в шкафу CLCP. Выполнена замена модуля цифрового ввода Allen-Bradley 1794-IB16 FLEX (тег №2NO50) в шкафу CLCP.</t>
        </is>
      </c>
      <c r="I43" s="16" t="inlineStr">
        <is>
          <t>В действиях оперативного персонала ошибок не выявлено.
Выполнена полная ревизия блока управления AUMATIC по частям: проверка клеммных соединений, прозвонка всех схем цепи контроля и управления (штифтовые и гнездовые контакты цепи управления и электродвигателя, соединительная плата шины, реверсивные пускатели, блок выключателей направления ОТКРЫТИЕ/ЗАКРЫТИЕ). Осмотр платы на дефекты — не обнаружено. Настройка и регулировка рабочих параметров привода, дополнительная диагностика цепей обратной связи электропривода MOV-4101. Проверка протяжки клеммных зажимов, целостности кабеля и герметизации на соединительной коробке JB и в шкафу CLCP. Выполнена замена модуля цифрового ввода Allen-Bradley 1794-IB16 FLEX (тег №2NO50) в шкафу CLCP.</t>
        </is>
      </c>
    </row>
    <row r="44" ht="95" customHeight="1">
      <c r="A44" s="14" t="inlineStr">
        <is>
          <t>№1 от 03.02.2025</t>
        </is>
      </c>
      <c r="B44" s="15" t="inlineStr">
        <is>
          <t>03.02.2025</t>
        </is>
      </c>
      <c r="C44" s="15" t="inlineStr">
        <is>
          <t>18:55</t>
        </is>
      </c>
      <c r="D44" s="15" t="inlineStr">
        <is>
          <t>ГПА №3</t>
        </is>
      </c>
      <c r="E44" s="15" t="inlineStr">
        <is>
          <t>Автоматический</t>
        </is>
      </c>
      <c r="F44" s="15" t="inlineStr">
        <is>
          <t>Отказ оборудования КИПиА</t>
        </is>
      </c>
      <c r="G44" s="16" t="inlineStr">
        <is>
          <t>На панель управления ГПЭС№4 поступил сигнал об ошибке №1452 «Ошибка положения автомата защиты ГУ», после чего произошёл автоматический останов ГПЭС№4, что привело к автоматическому останову ГПА№3.</t>
        </is>
      </c>
      <c r="H44" s="16" t="inlineStr">
        <is>
          <t>Проверка ошибки монтажа проводов, соединяющих выход управления замыканием автоматического выключателя на базовой плате (контакты ТВ5-1 и ТВ5-2) с автоматическим выключателем генераторной установки и обратной связью. Проверка настройки параллельного подключения на панели управления ГПЭС№4. Проверка монтажа проводов, соединяющих автоматический выключатель генераторной установки с базовой платой. Замена реле №38, подающего команду на замыкание автоматического выключателя. Проверка и затяжка контактов сигнальных линий ГПЭС№4 и вводного автомата. Проверка целостности проводника сигнальных линий. Запуск ГПЭС№4, синхронизация с ГПЭС№3, проверка рабочих характеристик. Проверка предохранителя FU-4. Смена местами переключателя режима автоматического выключателя с ГПЭС№1 на ГПЭС№4. Смена местами вводного автомата ГПЭС№4 и ГПЭС№1, попытка синхронизации с ГПЭС№3.</t>
        </is>
      </c>
      <c r="I44" s="16" t="inlineStr">
        <is>
          <t>После восстановления подачи электропитания произведён запуск ГПА№1.
Проверка ошибки монтажа проводов, соединяющих выход управления замыканием автоматического выключателя на базовой плате (контакты ТВ5-1 и ТВ5-2) с автоматическим выключателем генераторной установки и обратной связью. Проверка настройки параллельного подключения на панели управления ГПЭС№4. Проверка монтажа проводов, соединяющих автоматический выключатель генераторной установки с базовой платой. Замена реле №38, подающего команду на замыкание автоматического выключателя. Проверка и затяжка контактов сигнальных линий ГПЭС№4 и вводного автомата. Проверка целостности проводника сигнальных линий. Запуск ГПЭС№4, синхронизация с ГПЭС№3, проверка рабочих характеристик. Проверка предохранителя FU-4. Смена местами переключателя режима автоматического выключателя с ГПЭС№1 на ГПЭС№4. Смена местами вводного автомата ГПЭС№4 и ГПЭС№1, попытка синхронизации с ГПЭС№3.</t>
        </is>
      </c>
    </row>
    <row r="45" ht="95" customHeight="1">
      <c r="A45" s="14" t="inlineStr">
        <is>
          <t>№2 от 20.03.2025</t>
        </is>
      </c>
      <c r="B45" s="15" t="inlineStr">
        <is>
          <t>20.03.2025</t>
        </is>
      </c>
      <c r="C45" s="15" t="inlineStr">
        <is>
          <t>06:53</t>
        </is>
      </c>
      <c r="D45" s="15" t="inlineStr">
        <is>
          <t>ГПА №3</t>
        </is>
      </c>
      <c r="E45" s="15" t="inlineStr">
        <is>
          <t>Автоматический</t>
        </is>
      </c>
      <c r="F45" s="15" t="inlineStr">
        <is>
          <t>Техническая неисправность оборудования</t>
        </is>
      </c>
      <c r="G45" s="16" t="inlineStr">
        <is>
          <t>На панели управления ГПЭС№4 произошёл автоматический останов по ошибке №2489 «Перепад температуры выхлопных газов цилиндра №11 (А6)», что привело к автоматическому останову ГПА№3.</t>
        </is>
      </c>
      <c r="H45" s="16" t="inlineStr">
        <is>
          <t>В ходе проверки цилиндра №11 (А6) выявлено, что зазор свечи зажигания увеличен до 0,53 мм (согласно руководству по эксплуатации ГПЭС зазор должен быть 0,28 мм). Проверены все зазоры свечей зажигания, произведена замена 10 свечей зажигания на имеющиеся б/у в хорошем состоянии (зазор не превышает 0,28 мм). Дополнительно: проверка сопротивления электродов свечей зажигания, проверка сопротивления обмотки катушки зажигания, осмотр и чистка внутренности катушки от нагара.</t>
        </is>
      </c>
      <c r="I45" s="16" t="inlineStr">
        <is>
          <t>После восстановления подачи электропитания ГПА№3 выведен в резерв.
В ходе проверки цилиндра №11 (А6) выявлено, что зазор свечи зажигания увеличен до 0,53 мм (согласно руководству по эксплуатации ГПЭС зазор должен быть 0,28 мм). Проверены все зазоры свечей зажигания, произведена замена 10 свечей зажигания на имеющиеся б/у в хорошем состоянии (зазор не превышает 0,28 мм). Дополнительно: проверка сопротивления электродов свечей зажигания, проверка сопротивления обмотки катушки зажигания, осмотр и чистка внутренности катушки от нагара.</t>
        </is>
      </c>
    </row>
    <row r="46" ht="95" customHeight="1">
      <c r="A46" s="14" t="inlineStr">
        <is>
          <t>№3 от 24.03.2025</t>
        </is>
      </c>
      <c r="B46" s="15" t="inlineStr">
        <is>
          <t>24.03.2025</t>
        </is>
      </c>
      <c r="C46" s="15" t="inlineStr"/>
      <c r="D46" s="15" t="inlineStr">
        <is>
          <t>ГПА №2</t>
        </is>
      </c>
      <c r="E46" s="15" t="inlineStr">
        <is>
          <t>Автоматический</t>
        </is>
      </c>
      <c r="F46" s="15" t="inlineStr">
        <is>
          <t>Ложное срабатывание КИП / связь</t>
        </is>
      </c>
      <c r="G46" s="16" t="inlineStr">
        <is>
          <t>Совместно с подрядной организацией ТОО «Zhetysu Service Partners» проводились работы по сервисному обслуживанию систем СПГС и АПТ на ГПА№3. В ходе поочередной активации и тестирования детекторов пламени, в момент перехода на этап тестирования ручных извещателей пожара произошло несанкционированное срабатывание ПАЗ, приведшее к формированию сигнала «Подтверждённый пожар в Цеху №3» уровня ESD-II, одновременно сгенерировавшего автоматический останов ГПА№1/2/3. Генерация выходного сигнала ПАЗ возникла в результате сбоя работы программного обеспечения Engineering WorkPlace ABB по причине нарушения работы процессора (открытые окна и вкладки MainFaceplate), инициировавшего системную ошибку операционной системы инженерной рабочей станции ES-1.</t>
        </is>
      </c>
      <c r="H46" s="16" t="inlineStr">
        <is>
          <t>Диагностика: проверена работа программы и проанализированы параметры сигналов в программном обеспечении Engineering WorkPlace. Приняты меры по устранению перегрузки, а также оптимизации работы программы для работы с большим количеством форсированных сигналов. Закрыты лишние окна и вкладки MainFaceplate. После устранения сбоя система была перезапущена, все сигналы проверены на корректность.</t>
        </is>
      </c>
      <c r="I46" s="16" t="inlineStr">
        <is>
          <t>После сброса и восстановления ESDII ГПА№3 выведен в «работу» в 16:10.
Диагностика: проверена работа программы и проанализированы параметры сигналов в программном обеспечении Engineering WorkPlace. Приняты меры по устранению перегрузки, а также оптимизации работы программы для работы с большим количеством форсированных сигналов. Закрыты лишние окна и вкладки MainFaceplate. После устранения сбоя система была перезапущена, все сигналы проверены на корректность.</t>
        </is>
      </c>
    </row>
    <row r="47" ht="95" customHeight="1">
      <c r="A47" s="14" t="inlineStr">
        <is>
          <t>№4 от 01.04.2025</t>
        </is>
      </c>
      <c r="B47" s="15" t="inlineStr">
        <is>
          <t>01.04.2025</t>
        </is>
      </c>
      <c r="C47" s="15" t="inlineStr">
        <is>
          <t>15:45</t>
        </is>
      </c>
      <c r="D47" s="15" t="inlineStr">
        <is>
          <t>ГПА №2</t>
        </is>
      </c>
      <c r="E47" s="15" t="inlineStr">
        <is>
          <t>Автоматический</t>
        </is>
      </c>
      <c r="F47" s="15" t="inlineStr">
        <is>
          <t>Отказ оборудования КИПиА</t>
        </is>
      </c>
      <c r="G47" s="16" t="inlineStr">
        <is>
          <t>Согласно журналу предупреждений и аварийных сигналов (WorkstationST Alarm Viewer), отработали сигналы T22VSVTM_R open or short (R coil) и T22VSVTM_S open or short (S coil). Причина — разница показания сопротивления между катушками VSVVCOILOHM_R и VSVVCOILOHM_S сервоприводов VSV A/B.</t>
        </is>
      </c>
      <c r="H47" s="16" t="inlineStr">
        <is>
          <t>Проверка проводки на предмет обрыва и целостности цепей управления. Измерение сопротивления сервопривода, сравнение с номинальными значениями. Проверка AV-селектора в Hardware с мониторингом показаний в ServoHMI. Сравнение сопротивления с допустимыми пределами. Проверка перемычек (JP1/JP3/JP5) на плате управления на соответствие конфигурации ToolBoxST. Замена VSV сервопривода. Калибровка сервоприводов в режиме Calibration crank на ГПА-2. Замена платы управления GE IS200TSVCH1A в шкафу управления TCP-1.</t>
        </is>
      </c>
      <c r="I47" s="16" t="inlineStr">
        <is>
          <t>После выполнения работ разница сопротивления между катушками R и S составила 10 Ом (нерабочий ГПА) и 100 Ом (режим Calibration Crank). ГПА№2 выведен в «резерв».
Проверка проводки на предмет обрыва и целостности цепей управления. Измерение сопротивления сервопривода, сравнение с номинальными значениями. Проверка AV-селектора в Hardware с мониторингом показаний в ServoHMI. Сравнение сопротивления с допустимыми пределами. Проверка перемычек (JP1/JP3/JP5) на плате управления на соответствие конфигурации ToolBoxST. Замена VSV сервопривода. Калибровка сервоприводов в режиме Calibration crank на ГПА-2. Замена платы управления GE IS200TSVCH1A в шкафу управления TCP-1.</t>
        </is>
      </c>
    </row>
    <row r="48" ht="95" customHeight="1">
      <c r="A48" s="14" t="inlineStr">
        <is>
          <t>№5 от 09.05.2025</t>
        </is>
      </c>
      <c r="B48" s="15" t="inlineStr">
        <is>
          <t>09.05.2025</t>
        </is>
      </c>
      <c r="C48" s="15" t="inlineStr">
        <is>
          <t>06:20</t>
        </is>
      </c>
      <c r="D48" s="15" t="inlineStr">
        <is>
          <t>ГПА №1, ГПА №2</t>
        </is>
      </c>
      <c r="E48" s="15" t="inlineStr">
        <is>
          <t>Автоматический</t>
        </is>
      </c>
      <c r="F48" s="15" t="inlineStr">
        <is>
          <t>Отказ оборудования КИПиА</t>
        </is>
      </c>
      <c r="G48" s="16" t="inlineStr">
        <is>
          <t>На панель управления ГПЭС№4 поступил сигнал об ошибке №1452 «Ошибка положения автомата защиты ГУ», после чего произошёл автоматический останов ГПЭС№4 по ошибке №611 «Горячий останов двигателя». Автоматический останов ГПЭС№4 привёл к автоматическому останову ГПА№1,2. Аналогичная ошибка уже фиксировалась ранее (см. Акт №1 от 03.02.2025).</t>
        </is>
      </c>
      <c r="H48" s="16" t="inlineStr">
        <is>
          <t>Проверка ячейки отсека релейной защиты вводного автомата ГПЭС№4. Проверка и затяжка контактов сигнальных линий ГПЭС№4 и вводного автомата. Проверка целостности проводника сигнальных линий. Проверка монтажа проводов, соединяющих автоматический выключатель генераторной установки с базовой платой. Запуск ГПЭС№4, синхронизация с ГПЭС№2, проверка рабочих характеристик — отклонений, ошибок, замечаний не обнаружено, ГПЭС№4 выведен в резерв.</t>
        </is>
      </c>
      <c r="I48" s="16" t="inlineStr">
        <is>
          <t>После восстановления подачи электропитания ГПА№1,2 выведен в резерв.
Проверка ячейки отсека релейной защиты вводного автомата ГПЭС№4. Проверка и затяжка контактов сигнальных линий ГПЭС№4 и вводного автомата. Проверка целостности проводника сигнальных линий. Проверка монтажа проводов, соединяющих автоматический выключатель генераторной установки с базовой платой. Запуск ГПЭС№4, синхронизация с ГПЭС№2, проверка рабочих характеристик — отклонений, ошибок, замечаний не обнаружено, ГПЭС№4 выведен в резерв.</t>
        </is>
      </c>
    </row>
    <row r="49" ht="95" customHeight="1">
      <c r="A49" s="14" t="inlineStr">
        <is>
          <t>№6 от 07.09.2025</t>
        </is>
      </c>
      <c r="B49" s="15" t="inlineStr">
        <is>
          <t>07.09.2025</t>
        </is>
      </c>
      <c r="C49" s="15" t="inlineStr">
        <is>
          <t>17:55</t>
        </is>
      </c>
      <c r="D49" s="15" t="inlineStr">
        <is>
          <t>ГПА №2</t>
        </is>
      </c>
      <c r="E49" s="15" t="inlineStr">
        <is>
          <t>Автоматический</t>
        </is>
      </c>
      <c r="F49" s="15" t="inlineStr">
        <is>
          <t>Техническая неисправность оборудования</t>
        </is>
      </c>
      <c r="G49" s="16" t="inlineStr">
        <is>
          <t>Согласно журналу предупреждений и аварийных сигналов (WorkstationST Alarm Viewer и Trender), во время работы ГПА№2 зафиксированы сигналы ZSH372 (HYDRAULIC PUMP MANUAL ISOLATION VALVE NOT OPEN ALARM) и EXTERNAL ESD, сформировавшие ESDII. Формирование сигнала аварийной остановки второго уровня (ESD II) было вызвано коротким замыканием сигнальной линии ZSH372 на корпус распределительной коробки ТВ22, установленной в кожухе газоперекачивающего агрегата (ГПА). Причиной короткого замыкания стало нарушение изоляции проводки вследствие её износа в результате длительного воздействия вибрации от кожуха ГПА, что привело к механическому повреждению оболочки проводов и контакту с заземлёнными элементами корпуса.</t>
        </is>
      </c>
      <c r="H49" s="16" t="inlineStr">
        <is>
          <t>Проведена диагностика сигнальных цепей на участке от распределительной коробки ТВ22 до JB104 и далее до системы управления UCP Mark VI. Выполнен визуальный и приборный контроль состояния кабельной линии, выявлено повреждение изоляции в месте соприкосновения с металлическими элементами кожуха. Повреждённый участок проводки демонтирован, выполнен перемонтаж проводки с использованием наконечников и пинов для надёжности контактов. Выполнена ревизия креплений распределительной коробки ТВ22 и кабелей.
Повреждено: Проводка сигнала ZSH372 в распределительной коробке ТВ22 — повреждена изоляция вследствие износа и вибрационного воздействия</t>
        </is>
      </c>
      <c r="I49" s="16" t="inlineStr">
        <is>
          <t>После проведения комплексных мероприятий по выявлению и устранению причин аварийной остановки ГПА№2 восстановлен и полностью готов к дальнейшей эксплуатации.
Проведена диагностика сигнальных цепей на участке от распределительной коробки ТВ22 до JB104 и далее до системы управления UCP Mark VI. Выполнен визуальный и приборный контроль состояния кабельной линии, выявлено повреждение изоляции в месте соприкосновения с металлическими элементами кожуха. Повреждённый участок проводки демонтирован, выполнен перемонтаж проводки с использованием наконечников и пинов для надёжности контактов. Выполнена ревизия креплений распределительной коробки ТВ22 и кабелей.</t>
        </is>
      </c>
    </row>
    <row r="50" ht="95" customHeight="1">
      <c r="A50" s="14" t="inlineStr">
        <is>
          <t>№7 от 13.11.2025</t>
        </is>
      </c>
      <c r="B50" s="15" t="inlineStr">
        <is>
          <t>13.11.2025</t>
        </is>
      </c>
      <c r="C50" s="15" t="inlineStr">
        <is>
          <t>19:12</t>
        </is>
      </c>
      <c r="D50" s="15" t="inlineStr">
        <is>
          <t>ГПА №2, ГПА №3</t>
        </is>
      </c>
      <c r="E50" s="15" t="inlineStr">
        <is>
          <t>Автоматический</t>
        </is>
      </c>
      <c r="F50" s="15" t="inlineStr">
        <is>
          <t>Техническая неисправность (вспомогательные системы)</t>
        </is>
      </c>
      <c r="G50" s="16" t="inlineStr">
        <is>
          <t>Согласно журналу событий SCADA, во время работы ГПА№2,3 в 19:12 зафиксированы сигналы низкого давления газа на топливной линии от датчиков PT080302 и PT080402, что привело к автоматическому останову ГПА№2,3. Причина — отказ регуляторов давления с понижением давления топливного газа, установленных в блоке подготовки топливного газа (БПТГ) №1,2. При повышении оборотов ГПА№2,3 до 6000 об/мин произошёл автоматический останов по срыву пламени в камере сгорания (ошибка Flame out trip SIS23.L28FDT alarm). При анализе трендов установлено резкое увеличение перепада давления на фильтре FSP080101 (с 18 кПа до 68,8 кПа), а также скачки расхода топливного газа на расходомере FIT080301, что могло привести к потере стабильности регулирования регуляторов давления на БПТГ№1,2.</t>
        </is>
      </c>
      <c r="H50" s="16" t="inlineStr">
        <is>
          <t>Проведены работы по настройке регуляторов давления топливного газа в БПТГ№1,2, что позволило восстановить подачу топливного газа в ГПА№2,3. Проведена корректировка настроек регулятора и контроль за стабильностью давления на выходе.</t>
        </is>
      </c>
      <c r="I50" s="16" t="inlineStr">
        <is>
          <t>ГПА№2,3 выведены в работу.
Проведены работы по настройке регуляторов давления топливного газа в БПТГ№1,2, что позволило восстановить подачу топливного газа в ГПА№2,3. Проведена корректировка настроек регулятора и контроль за стабильностью давления на выходе.</t>
        </is>
      </c>
    </row>
    <row r="51" ht="95" customHeight="1">
      <c r="A51" s="14" t="inlineStr">
        <is>
          <t>№1 от 30.09.2024</t>
        </is>
      </c>
      <c r="B51" s="15" t="inlineStr">
        <is>
          <t>30.09.2024</t>
        </is>
      </c>
      <c r="C51" s="15" t="inlineStr">
        <is>
          <t>20:51</t>
        </is>
      </c>
      <c r="D51" s="15" t="inlineStr">
        <is>
          <t>ГПА №3</t>
        </is>
      </c>
      <c r="E51" s="15" t="inlineStr">
        <is>
          <t>Автоматический</t>
        </is>
      </c>
      <c r="F51" s="15" t="inlineStr">
        <is>
          <t>Человеческий фактор</t>
        </is>
      </c>
      <c r="G51" s="16" t="inlineStr">
        <is>
          <t>Во время подготовительных огневых работ по демонтажу обслуживающей платформы для замены СГУ на ГПА№2 (срез опорных ножек угловой шлифовальной машиной) окалина попала на ветошь. После восстановления снятых на время работ форсировок по датчикам загазованности и пламени в 20:51 детекторы пламени XFU040207, XFU040208 зафиксировали тление ветоши, что сформировало сигнал ESD-II с активацией предпускового выброса CO2 компрессорного цеха №2 и автоматический останов ГПА№1,2,3 со сбросом давления из контура; закрылись станционные краны ESDV.</t>
        </is>
      </c>
      <c r="H51" s="16" t="inlineStr">
        <is>
          <t>Сменный инженер по индикации на панели AUX определил активную индикацию предвыпуска CO2 и по приборам весового устройства перепроверил ложность выброса. Осмотр цеха без захода внутрь выявил задымление и тление ветоши у юго-восточной двери; сигнал пожаротушения деактивирован, очаг потушен огнетушителем ОП-10. Восстановление режима станции: выравнивание давления через кран MOPV311101 (ESDV311101), открытие проходного крана GHV311301, выравнивание давления между входным/выходным коллекторами КС через кольцо FCV010001, выравнивание давления через ESDV311201, закрытие GHV311301.</t>
        </is>
      </c>
      <c r="I51" s="16" t="inlineStr">
        <is>
          <t>ГПА №3 выведен в «резерв» 30.09.2024 в 23:00.
Сменный инженер по индикации на панели AUX определил активную индикацию предвыпуска CO2 и по приборам весового устройства перепроверил ложность выброса. Осмотр цеха без захода внутрь выявил задымление и тление ветоши у юго-восточной двери; сигнал пожаротушения деактивирован, очаг потушен огнетушителем ОП-10. Восстановление режима станции: выравнивание давления через кран MOPV311101 (ESDV311101), открытие проходного крана GHV311301, выравнивание давления между входным/выходным коллекторами КС через кольцо FCV010001, выравнивание давления через ESDV311201, закрытие GHV311301.</t>
        </is>
      </c>
    </row>
    <row r="52" ht="95" customHeight="1">
      <c r="A52" s="14" t="inlineStr">
        <is>
          <t>№2 от 30.11.2024</t>
        </is>
      </c>
      <c r="B52" s="15" t="inlineStr">
        <is>
          <t>30.11.2024</t>
        </is>
      </c>
      <c r="C52" s="15" t="inlineStr">
        <is>
          <t>15:30</t>
        </is>
      </c>
      <c r="D52" s="15" t="inlineStr">
        <is>
          <t>ГПА №2</t>
        </is>
      </c>
      <c r="E52" s="15" t="inlineStr">
        <is>
          <t>Автоматический</t>
        </is>
      </c>
      <c r="F52" s="15" t="inlineStr">
        <is>
          <t>Техническая неисправность (вспомогательные системы)</t>
        </is>
      </c>
      <c r="G52" s="16" t="inlineStr">
        <is>
          <t>После сообщения о низком давлении от датчиков РТ-130001/002/003 на выходе воздушного компрессора №1 произведено оперативное переключение на ВК№2. При переключении на резервный вентилятор продувки кожуха ГТУ (88ВА-1) зафиксирована ошибка «Сбой питания сети (А36)» частотного преобразователя; резервный вентилятор подхватил запуск только через 8 секунд, за это время дифференциальное давление внутри кожуха ГГ (датчик PDIT-270) кратковременно снизилось ниже нормы, что привело к автоматическому останову ГПА№2 без сброса давления из контура.</t>
        </is>
      </c>
      <c r="H52" s="16" t="inlineStr">
        <is>
          <t>Проверка историй трендов питающей сети в HMI; проверка ошибок в контроллерах частотных преобразователей вентиляторов 88ВА-1 и 88ВА-2 в МСС№2; проверка установленных защит частотных преобразователей; дистанционный запуск вентиляторов; проверка рабочих параметров.
Повреждено: Не обнаружено</t>
        </is>
      </c>
      <c r="I52" s="16" t="inlineStr">
        <is>
          <t>ГПА №2 выведен в «резерв» 30.11.2024 в 23:00.
Проверка историй трендов питающей сети в HMI; проверка ошибок в контроллерах частотных преобразователей вентиляторов 88ВА-1 и 88ВА-2 в МСС№2; проверка установленных защит частотных преобразователей; дистанционный запуск вентиляторов; проверка рабочих параметров.</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42" customWidth="1" min="1" max="1"/>
    <col width="18" customWidth="1" min="2" max="2"/>
    <col width="12" customWidth="1" min="3" max="3"/>
  </cols>
  <sheetData>
    <row r="1" ht="26" customHeight="1">
      <c r="A1" s="9" t="inlineStr">
        <is>
          <t>КЛАССИФИКАЦИЯ ПРИЧИН ОТКАЗОВ (авторасчёт)</t>
        </is>
      </c>
    </row>
    <row r="3">
      <c r="A3" s="2" t="inlineStr">
        <is>
          <t>Категория причины</t>
        </is>
      </c>
      <c r="B3" s="2" t="inlineStr">
        <is>
          <t>Кол-во инцидентов</t>
        </is>
      </c>
      <c r="C3" s="2" t="inlineStr">
        <is>
          <t>Доля, %</t>
        </is>
      </c>
    </row>
    <row r="4">
      <c r="A4" s="3" t="inlineStr">
        <is>
          <t>Внешняя/неподтвержденная причина</t>
        </is>
      </c>
      <c r="B4" s="3">
        <f>COUNTIF('Инциденты_детально'!$F$4:$F$52,A4)</f>
        <v/>
      </c>
      <c r="C4" s="17">
        <f>B4/49</f>
        <v/>
      </c>
    </row>
    <row r="5">
      <c r="A5" s="3" t="inlineStr">
        <is>
          <t>Ложное срабатывание КИП</t>
        </is>
      </c>
      <c r="B5" s="3">
        <f>COUNTIF('Инциденты_детально'!$F$4:$F$52,A5)</f>
        <v/>
      </c>
      <c r="C5" s="17">
        <f>B5/49</f>
        <v/>
      </c>
    </row>
    <row r="6">
      <c r="A6" s="3" t="inlineStr">
        <is>
          <t>Ложное срабатывание КИП / связь</t>
        </is>
      </c>
      <c r="B6" s="3">
        <f>COUNTIF('Инциденты_детально'!$F$4:$F$52,A6)</f>
        <v/>
      </c>
      <c r="C6" s="17">
        <f>B6/49</f>
        <v/>
      </c>
    </row>
    <row r="7">
      <c r="A7" s="3" t="inlineStr">
        <is>
          <t>Настройка/калибровка камеры сгорания (DLE)</t>
        </is>
      </c>
      <c r="B7" s="3">
        <f>COUNTIF('Инциденты_детально'!$F$4:$F$52,A7)</f>
        <v/>
      </c>
      <c r="C7" s="17">
        <f>B7/49</f>
        <v/>
      </c>
    </row>
    <row r="8">
      <c r="A8" s="3" t="inlineStr">
        <is>
          <t>Отказ оборудования КИПиА</t>
        </is>
      </c>
      <c r="B8" s="3">
        <f>COUNTIF('Инциденты_детально'!$F$4:$F$52,A8)</f>
        <v/>
      </c>
      <c r="C8" s="17">
        <f>B8/49</f>
        <v/>
      </c>
    </row>
    <row r="9">
      <c r="A9" s="3" t="inlineStr">
        <is>
          <t>Техническая неисправность (вспомогательные системы)</t>
        </is>
      </c>
      <c r="B9" s="3">
        <f>COUNTIF('Инциденты_детально'!$F$4:$F$52,A9)</f>
        <v/>
      </c>
      <c r="C9" s="17">
        <f>B9/49</f>
        <v/>
      </c>
    </row>
    <row r="10">
      <c r="A10" s="3" t="inlineStr">
        <is>
          <t>Техническая неисправность оборудования</t>
        </is>
      </c>
      <c r="B10" s="3">
        <f>COUNTIF('Инциденты_детально'!$F$4:$F$52,A10)</f>
        <v/>
      </c>
      <c r="C10" s="17">
        <f>B10/49</f>
        <v/>
      </c>
    </row>
    <row r="11">
      <c r="A11" s="3" t="inlineStr">
        <is>
          <t>Технологическое ограничение при переключении</t>
        </is>
      </c>
      <c r="B11" s="3">
        <f>COUNTIF('Инциденты_детально'!$F$4:$F$52,A11)</f>
        <v/>
      </c>
      <c r="C11" s="17">
        <f>B11/49</f>
        <v/>
      </c>
    </row>
    <row r="12">
      <c r="A12" s="3" t="inlineStr">
        <is>
          <t>Человеческий фактор</t>
        </is>
      </c>
      <c r="B12" s="3">
        <f>COUNTIF('Инциденты_детально'!$F$4:$F$52,A12)</f>
        <v/>
      </c>
      <c r="C12" s="17">
        <f>B12/49</f>
        <v/>
      </c>
    </row>
    <row r="13">
      <c r="A13" s="3" t="inlineStr">
        <is>
          <t>Электросеть / переключение агрегатов</t>
        </is>
      </c>
      <c r="B13" s="3">
        <f>COUNTIF('Инциденты_детально'!$F$4:$F$52,A13)</f>
        <v/>
      </c>
      <c r="C13" s="17">
        <f>B13/49</f>
        <v/>
      </c>
    </row>
    <row r="14">
      <c r="A14" s="3" t="inlineStr">
        <is>
          <t>Электросеть / синхронизация агрегатов</t>
        </is>
      </c>
      <c r="B14" s="3">
        <f>COUNTIF('Инциденты_детально'!$F$4:$F$52,A14)</f>
        <v/>
      </c>
      <c r="C14" s="17">
        <f>B14/49</f>
        <v/>
      </c>
    </row>
    <row r="15">
      <c r="A15" s="18" t="inlineStr">
        <is>
          <t>ИТОГО инцидентов</t>
        </is>
      </c>
      <c r="B15" s="18">
        <f>SUM(B4:B14)</f>
        <v/>
      </c>
      <c r="C15" s="19">
        <f>SUM(C4:C14)</f>
        <v/>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4" customWidth="1" min="3" max="3"/>
    <col width="38" customWidth="1" min="4" max="4"/>
    <col width="38" customWidth="1" min="5" max="5"/>
    <col width="20" customWidth="1" min="6" max="6"/>
    <col width="13" customWidth="1" min="7" max="7"/>
    <col width="12" customWidth="1" min="8" max="8"/>
    <col width="16" customWidth="1" min="9" max="9"/>
    <col width="16" customWidth="1" min="10" max="10"/>
  </cols>
  <sheetData>
    <row r="1" ht="26" customHeight="1">
      <c r="A1" s="9" t="inlineStr">
        <is>
          <t>РЕЕСТР РАБОТ ПО УСТРАНЕНИЮ ДЕФЕКТОВ</t>
        </is>
      </c>
    </row>
    <row r="3">
      <c r="A3" s="13" t="inlineStr">
        <is>
          <t>Привязка к аварии (акт/дата)</t>
        </is>
      </c>
      <c r="B3" s="13" t="inlineStr">
        <is>
          <t>ГПА</t>
        </is>
      </c>
      <c r="C3" s="13" t="inlineStr">
        <is>
          <t>№ дефектного акта</t>
        </is>
      </c>
      <c r="D3" s="13" t="inlineStr">
        <is>
          <t>Описание дефекта</t>
        </is>
      </c>
      <c r="E3" s="13" t="inlineStr">
        <is>
          <t>Описание выполненных работ</t>
        </is>
      </c>
      <c r="F3" s="13" t="inlineStr">
        <is>
          <t>№ акта вып. работ</t>
        </is>
      </c>
      <c r="G3" s="13" t="inlineStr">
        <is>
          <t>Дата выполнения</t>
        </is>
      </c>
      <c r="H3" s="13" t="inlineStr">
        <is>
          <t>Статус</t>
        </is>
      </c>
      <c r="I3" s="13" t="inlineStr">
        <is>
          <t>Дефектный акт</t>
        </is>
      </c>
      <c r="J3" s="13" t="inlineStr">
        <is>
          <t>Акт вып. работ</t>
        </is>
      </c>
    </row>
    <row r="4" ht="55" customHeight="1">
      <c r="A4" s="15" t="inlineStr">
        <is>
          <t>№2 от 14.04.2023</t>
        </is>
      </c>
      <c r="B4" s="15" t="inlineStr">
        <is>
          <t>ГПА №2</t>
        </is>
      </c>
      <c r="C4" s="14" t="inlineStr"/>
      <c r="D4" s="16" t="inlineStr"/>
      <c r="E4" s="16" t="inlineStr">
        <is>
          <t>Внедрено резервирование контроля давления в системе сухих газовых уплотнений (СГУ) ГПА GE согласно предложению по повышению эффективности №4 от 28.11.2025. Установлен резервный датчик давления PIT-750/B (Rosemount 3051) параллельно основному датчику PIT-750 с использованием существующей аппаратной базы. Резервный датчик подключён к свободному аналоговому входу №4 модуля MTL8000 8201-HI-IS в шкафу JB-1. Настроена логика контроллера по принципу голосования «2оо2»: останов ГПА инициируется только при подтверждении аварийного значения давления обоими датчиками либо при совпадении аварийного сигнала одного датчика с диагностической неисправностью второго. На ЧМИ (HMI Cimplicity GE) обеспечено отображение параметров обоих каналов измерения, состояния датчиков и диагностической информации. Обеспечено резервирование системы контроля давления СГУ с исключением потери функции контроля при выходе из строя одного измерительного канала.</t>
        </is>
      </c>
      <c r="F4" s="14" t="inlineStr"/>
      <c r="G4" s="15" t="inlineStr">
        <is>
          <t>23.05.2026</t>
        </is>
      </c>
      <c r="H4" s="20" t="inlineStr">
        <is>
          <t>выполнено</t>
        </is>
      </c>
      <c r="I4" s="21" t="n"/>
      <c r="J4" s="22" t="inlineStr">
        <is>
          <t>Открыть акт вып. работ</t>
        </is>
      </c>
    </row>
    <row r="5" ht="55" customHeight="1">
      <c r="A5" s="15" t="inlineStr">
        <is>
          <t>№4 от 01.06.2023</t>
        </is>
      </c>
      <c r="B5" s="15" t="inlineStr">
        <is>
          <t>ГПА №2</t>
        </is>
      </c>
      <c r="C5" s="14" t="inlineStr"/>
      <c r="D5" s="16" t="inlineStr"/>
      <c r="E5" s="16" t="inlineStr">
        <is>
          <t>Ревизия CDP клапана (Bleed Valve) S/N GRTR7704: наружный осмотр корпуса и привода; демонтаж привода; демонтаж и инспекция элементов корпуса; инспекция штока и элементов поршневого затвора; обратная сборка всех элементов клапана после ревизии. По результатам ревизии подтверждён износ тефлонового уплотнительного кольца поршневого затвора как причина утечки.</t>
        </is>
      </c>
      <c r="F5" s="14" t="inlineStr"/>
      <c r="G5" s="15" t="inlineStr">
        <is>
          <t>04.06.2023</t>
        </is>
      </c>
      <c r="H5" s="20" t="inlineStr">
        <is>
          <t>выполнено</t>
        </is>
      </c>
      <c r="I5" s="21" t="n"/>
      <c r="J5" s="22" t="inlineStr">
        <is>
          <t>Открыть акт вып. работ</t>
        </is>
      </c>
    </row>
    <row r="6" ht="55" customHeight="1">
      <c r="A6" s="15" t="inlineStr">
        <is>
          <t>— (плановая инспекция) от 11.12.2021</t>
        </is>
      </c>
      <c r="B6" s="15" t="inlineStr">
        <is>
          <t>ГПА №1</t>
        </is>
      </c>
      <c r="C6" s="14" t="inlineStr">
        <is>
          <t>№62/21</t>
        </is>
      </c>
      <c r="D6" s="16" t="inlineStr">
        <is>
          <t>Утечка синтетического масла с фланцевого соединения откачивающей линии подшипника газогенератора и с гибкого шланга сепаратора синтетического масла.</t>
        </is>
      </c>
      <c r="E6" s="16" t="inlineStr">
        <is>
          <t>Замена прокладки 9627M01P02 GE — 1 шт.; замена гибкого шланга сепаратора RTR33432 — 1 шт.; проверка давления азота в гидроцилиндре RAO01587.
Расходные материалы: Прокладка фланцевого соединения откачивающей линии подшипника газогенератора (9627M01P02 GE) — 1 шт.; Гибкий шланг сепаратора синтетического масла (RTR33432) — 1 шт.</t>
        </is>
      </c>
      <c r="F6" s="14" t="inlineStr">
        <is>
          <t>Акт выполненных работ от 11.12.2021</t>
        </is>
      </c>
      <c r="G6" s="15" t="inlineStr">
        <is>
          <t>11.12.2021</t>
        </is>
      </c>
      <c r="H6" s="20" t="inlineStr">
        <is>
          <t>выполнено</t>
        </is>
      </c>
      <c r="I6" s="22" t="inlineStr">
        <is>
          <t>Открыть дефектный акт</t>
        </is>
      </c>
      <c r="J6" s="22" t="inlineStr">
        <is>
          <t>Открыть акт вып. работ</t>
        </is>
      </c>
    </row>
  </sheetData>
  <mergeCells count="1">
    <mergeCell ref="A1:J1"/>
  </mergeCells>
  <hyperlinks>
    <hyperlink xmlns:r="http://schemas.openxmlformats.org/officeDocument/2006/relationships" ref="J4" r:id="rId1"/>
    <hyperlink xmlns:r="http://schemas.openxmlformats.org/officeDocument/2006/relationships" ref="J5" r:id="rId2"/>
    <hyperlink xmlns:r="http://schemas.openxmlformats.org/officeDocument/2006/relationships" ref="I6" r:id="rId3"/>
    <hyperlink xmlns:r="http://schemas.openxmlformats.org/officeDocument/2006/relationships" ref="J6"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2"/>
  <sheetViews>
    <sheetView showGridLines="0" workbookViewId="0">
      <selection activeCell="A1" sqref="A1"/>
    </sheetView>
  </sheetViews>
  <sheetFormatPr baseColWidth="8" defaultRowHeight="15"/>
  <cols>
    <col width="6" customWidth="1" min="1" max="1"/>
    <col width="10" customWidth="1" min="2" max="2"/>
    <col width="55" customWidth="1" min="3" max="3"/>
    <col width="14" customWidth="1" min="4" max="4"/>
  </cols>
  <sheetData>
    <row r="1" ht="26" customHeight="1">
      <c r="A1" s="9" t="inlineStr">
        <is>
          <t>ЖУРНАЛ ИСТОЧНИКОВ ДАННЫХ</t>
        </is>
      </c>
    </row>
    <row r="3">
      <c r="A3" s="2" t="inlineStr">
        <is>
          <t>№</t>
        </is>
      </c>
      <c r="B3" s="2" t="inlineStr">
        <is>
          <t>Акт</t>
        </is>
      </c>
      <c r="C3" s="2" t="inlineStr">
        <is>
          <t>Файл</t>
        </is>
      </c>
      <c r="D3" s="2" t="inlineStr">
        <is>
          <t>Дата акта</t>
        </is>
      </c>
    </row>
    <row r="4">
      <c r="A4" s="15" t="n">
        <v>1</v>
      </c>
      <c r="B4" s="15" t="inlineStr">
        <is>
          <t>№1</t>
        </is>
      </c>
      <c r="C4" s="15" t="inlineStr">
        <is>
          <t>act01_investigation.pdf</t>
        </is>
      </c>
      <c r="D4" s="15" t="inlineStr">
        <is>
          <t>10.06.2020</t>
        </is>
      </c>
    </row>
    <row r="5">
      <c r="A5" s="15" t="n">
        <v>2</v>
      </c>
      <c r="B5" s="15" t="inlineStr">
        <is>
          <t>№1</t>
        </is>
      </c>
      <c r="C5" s="15" t="inlineStr">
        <is>
          <t>act02_investigation.pdf</t>
        </is>
      </c>
      <c r="D5" s="15" t="inlineStr">
        <is>
          <t>01.02.2022</t>
        </is>
      </c>
    </row>
    <row r="6">
      <c r="A6" s="15" t="n">
        <v>3</v>
      </c>
      <c r="B6" s="15" t="inlineStr">
        <is>
          <t>№2</t>
        </is>
      </c>
      <c r="C6" s="15" t="inlineStr">
        <is>
          <t>act03_investigation.pdf</t>
        </is>
      </c>
      <c r="D6" s="15" t="inlineStr">
        <is>
          <t>11.03.2022</t>
        </is>
      </c>
    </row>
    <row r="7">
      <c r="A7" s="15" t="n">
        <v>4</v>
      </c>
      <c r="B7" s="15" t="inlineStr">
        <is>
          <t>№3</t>
        </is>
      </c>
      <c r="C7" s="15" t="inlineStr">
        <is>
          <t>act04_investigation.pdf</t>
        </is>
      </c>
      <c r="D7" s="15" t="inlineStr">
        <is>
          <t>25.04.2022</t>
        </is>
      </c>
    </row>
    <row r="8">
      <c r="A8" s="15" t="n">
        <v>5</v>
      </c>
      <c r="B8" s="15" t="inlineStr">
        <is>
          <t>№5</t>
        </is>
      </c>
      <c r="C8" s="15" t="inlineStr">
        <is>
          <t>act05_investigation.pdf</t>
        </is>
      </c>
      <c r="D8" s="15" t="inlineStr">
        <is>
          <t>07.06.2022</t>
        </is>
      </c>
    </row>
    <row r="9">
      <c r="A9" s="15" t="n">
        <v>6</v>
      </c>
      <c r="B9" s="15" t="inlineStr">
        <is>
          <t>№1</t>
        </is>
      </c>
      <c r="C9" s="15" t="inlineStr">
        <is>
          <t>act06_investigation.pdf</t>
        </is>
      </c>
      <c r="D9" s="15" t="inlineStr">
        <is>
          <t>11.03.2023</t>
        </is>
      </c>
    </row>
    <row r="10">
      <c r="A10" s="15" t="n">
        <v>7</v>
      </c>
      <c r="B10" s="15" t="inlineStr">
        <is>
          <t>№2</t>
        </is>
      </c>
      <c r="C10" s="15" t="inlineStr">
        <is>
          <t>act07_investigation.pdf</t>
        </is>
      </c>
      <c r="D10" s="15" t="inlineStr">
        <is>
          <t>14.04.2023</t>
        </is>
      </c>
    </row>
    <row r="11">
      <c r="A11" s="15" t="n">
        <v>8</v>
      </c>
      <c r="B11" s="15" t="inlineStr">
        <is>
          <t>№5</t>
        </is>
      </c>
      <c r="C11" s="15" t="inlineStr">
        <is>
          <t>act08_investigation.pdf</t>
        </is>
      </c>
      <c r="D11" s="15" t="inlineStr">
        <is>
          <t>06.06.2023</t>
        </is>
      </c>
    </row>
    <row r="12">
      <c r="A12" s="15" t="n">
        <v>9</v>
      </c>
      <c r="B12" s="15" t="inlineStr">
        <is>
          <t>№1</t>
        </is>
      </c>
      <c r="C12" s="15" t="inlineStr">
        <is>
          <t>act09_investigation.pdf</t>
        </is>
      </c>
      <c r="D12" s="15" t="inlineStr">
        <is>
          <t>04.03.2024</t>
        </is>
      </c>
    </row>
    <row r="13">
      <c r="A13" s="15" t="n">
        <v>10</v>
      </c>
      <c r="B13" s="15" t="inlineStr">
        <is>
          <t>№2</t>
        </is>
      </c>
      <c r="C13" s="15" t="inlineStr">
        <is>
          <t>act10_investigation.pdf</t>
        </is>
      </c>
      <c r="D13" s="15" t="inlineStr">
        <is>
          <t>11.03.2024</t>
        </is>
      </c>
    </row>
    <row r="14">
      <c r="A14" s="15" t="n">
        <v>11</v>
      </c>
      <c r="B14" s="15" t="inlineStr">
        <is>
          <t>№3</t>
        </is>
      </c>
      <c r="C14" s="15" t="inlineStr">
        <is>
          <t>act11_investigation.pdf</t>
        </is>
      </c>
      <c r="D14" s="15" t="inlineStr">
        <is>
          <t>10.05.2024</t>
        </is>
      </c>
    </row>
    <row r="15">
      <c r="A15" s="15" t="n">
        <v>12</v>
      </c>
      <c r="B15" s="15" t="inlineStr">
        <is>
          <t>№4</t>
        </is>
      </c>
      <c r="C15" s="15" t="inlineStr">
        <is>
          <t>act12_investigation.pdf</t>
        </is>
      </c>
      <c r="D15" s="15" t="inlineStr">
        <is>
          <t>28.12.2024</t>
        </is>
      </c>
    </row>
    <row r="16">
      <c r="A16" s="15" t="n">
        <v>13</v>
      </c>
      <c r="B16" s="15" t="inlineStr">
        <is>
          <t>№1</t>
        </is>
      </c>
      <c r="C16" s="15" t="inlineStr">
        <is>
          <t>act13_investigation.pdf</t>
        </is>
      </c>
      <c r="D16" s="15" t="inlineStr">
        <is>
          <t>02.05.2025</t>
        </is>
      </c>
    </row>
    <row r="17">
      <c r="A17" s="15" t="n">
        <v>14</v>
      </c>
      <c r="B17" s="15" t="inlineStr">
        <is>
          <t>№1</t>
        </is>
      </c>
      <c r="C17" s="15" t="inlineStr">
        <is>
          <t>act14_investigation.pdf</t>
        </is>
      </c>
      <c r="D17" s="15" t="inlineStr">
        <is>
          <t>27.04.2026</t>
        </is>
      </c>
    </row>
    <row r="18">
      <c r="A18" s="15" t="n">
        <v>15</v>
      </c>
      <c r="B18" s="15" t="inlineStr">
        <is>
          <t>№4</t>
        </is>
      </c>
      <c r="C18" s="15" t="inlineStr">
        <is>
          <t>act15_investigation.pdf</t>
        </is>
      </c>
      <c r="D18" s="15" t="inlineStr">
        <is>
          <t>01.06.2023</t>
        </is>
      </c>
    </row>
    <row r="19">
      <c r="A19" s="15" t="n">
        <v>16</v>
      </c>
      <c r="B19" s="15" t="inlineStr">
        <is>
          <t>№3</t>
        </is>
      </c>
      <c r="C19" s="15" t="inlineStr">
        <is>
          <t>act20_investigation.pdf</t>
        </is>
      </c>
      <c r="D19" s="15" t="inlineStr">
        <is>
          <t>07.03.2018</t>
        </is>
      </c>
    </row>
    <row r="20">
      <c r="A20" s="15" t="n">
        <v>17</v>
      </c>
      <c r="B20" s="15" t="inlineStr">
        <is>
          <t>№4</t>
        </is>
      </c>
      <c r="C20" s="15" t="inlineStr">
        <is>
          <t>act23_investigation.pdf</t>
        </is>
      </c>
      <c r="D20" s="15" t="inlineStr">
        <is>
          <t>30.03.2018</t>
        </is>
      </c>
    </row>
    <row r="21">
      <c r="A21" s="15" t="n">
        <v>18</v>
      </c>
      <c r="B21" s="15" t="inlineStr">
        <is>
          <t>№6</t>
        </is>
      </c>
      <c r="C21" s="15" t="inlineStr">
        <is>
          <t>act22_investigation.pdf</t>
        </is>
      </c>
      <c r="D21" s="15" t="inlineStr">
        <is>
          <t>24.05.2018</t>
        </is>
      </c>
    </row>
    <row r="22">
      <c r="A22" s="15" t="n">
        <v>19</v>
      </c>
      <c r="B22" s="15" t="inlineStr">
        <is>
          <t>№7</t>
        </is>
      </c>
      <c r="C22" s="15" t="inlineStr">
        <is>
          <t>act21_investigation.pdf</t>
        </is>
      </c>
      <c r="D22" s="15" t="inlineStr">
        <is>
          <t>28.05.2018</t>
        </is>
      </c>
    </row>
    <row r="23">
      <c r="A23" s="15" t="n">
        <v>20</v>
      </c>
      <c r="B23" s="15" t="inlineStr">
        <is>
          <t>№1</t>
        </is>
      </c>
      <c r="C23" s="15" t="inlineStr">
        <is>
          <t>act24_investigation.pdf</t>
        </is>
      </c>
      <c r="D23" s="15" t="inlineStr">
        <is>
          <t>03.02.2018</t>
        </is>
      </c>
    </row>
    <row r="24">
      <c r="A24" s="15" t="n">
        <v>21</v>
      </c>
      <c r="B24" s="15" t="inlineStr">
        <is>
          <t>№2</t>
        </is>
      </c>
      <c r="C24" s="15" t="inlineStr">
        <is>
          <t>act25_investigation.pdf</t>
        </is>
      </c>
      <c r="D24" s="15" t="inlineStr">
        <is>
          <t>21.02.2018</t>
        </is>
      </c>
    </row>
    <row r="25">
      <c r="A25" s="15" t="n">
        <v>22</v>
      </c>
      <c r="B25" s="15" t="inlineStr">
        <is>
          <t>№5</t>
        </is>
      </c>
      <c r="C25" s="15" t="inlineStr">
        <is>
          <t>act26_investigation.pdf</t>
        </is>
      </c>
      <c r="D25" s="15" t="inlineStr">
        <is>
          <t>30.03.2018</t>
        </is>
      </c>
    </row>
    <row r="26">
      <c r="A26" s="15" t="n">
        <v>23</v>
      </c>
      <c r="B26" s="15" t="inlineStr">
        <is>
          <t>№8</t>
        </is>
      </c>
      <c r="C26" s="15" t="inlineStr">
        <is>
          <t>act27_investigation.pdf</t>
        </is>
      </c>
      <c r="D26" s="15" t="inlineStr">
        <is>
          <t>25.06.2018</t>
        </is>
      </c>
    </row>
    <row r="27">
      <c r="A27" s="15" t="n">
        <v>24</v>
      </c>
      <c r="B27" s="15" t="inlineStr">
        <is>
          <t>№9</t>
        </is>
      </c>
      <c r="C27" s="15" t="inlineStr">
        <is>
          <t>act28_investigation.pdf</t>
        </is>
      </c>
      <c r="D27" s="15" t="inlineStr">
        <is>
          <t>26.06.2018</t>
        </is>
      </c>
    </row>
    <row r="28">
      <c r="A28" s="15" t="n">
        <v>25</v>
      </c>
      <c r="B28" s="15" t="inlineStr">
        <is>
          <t>№1</t>
        </is>
      </c>
      <c r="C28" s="15" t="inlineStr">
        <is>
          <t>act29_investigation.pdf</t>
        </is>
      </c>
      <c r="D28" s="15" t="inlineStr">
        <is>
          <t>31.03.2019</t>
        </is>
      </c>
    </row>
    <row r="29">
      <c r="A29" s="15" t="n">
        <v>26</v>
      </c>
      <c r="B29" s="15" t="inlineStr">
        <is>
          <t>№2</t>
        </is>
      </c>
      <c r="C29" s="15" t="inlineStr">
        <is>
          <t>act30_investigation.pdf</t>
        </is>
      </c>
      <c r="D29" s="15" t="inlineStr">
        <is>
          <t>13.04.2019</t>
        </is>
      </c>
    </row>
    <row r="30">
      <c r="A30" s="15" t="n">
        <v>27</v>
      </c>
      <c r="B30" s="15" t="inlineStr">
        <is>
          <t>№3</t>
        </is>
      </c>
      <c r="C30" s="15" t="inlineStr">
        <is>
          <t>act31_investigation.pdf</t>
        </is>
      </c>
      <c r="D30" s="15" t="inlineStr">
        <is>
          <t>20.04.2019</t>
        </is>
      </c>
    </row>
    <row r="31">
      <c r="A31" s="15" t="n">
        <v>28</v>
      </c>
      <c r="B31" s="15" t="inlineStr">
        <is>
          <t>№4</t>
        </is>
      </c>
      <c r="C31" s="15" t="inlineStr">
        <is>
          <t>act32_investigation.pdf</t>
        </is>
      </c>
      <c r="D31" s="15" t="inlineStr">
        <is>
          <t>08.05.2019</t>
        </is>
      </c>
    </row>
    <row r="32">
      <c r="A32" s="15" t="n">
        <v>29</v>
      </c>
      <c r="B32" s="15" t="inlineStr">
        <is>
          <t>№5</t>
        </is>
      </c>
      <c r="C32" s="15" t="inlineStr">
        <is>
          <t>act33_investigation.pdf</t>
        </is>
      </c>
      <c r="D32" s="15" t="inlineStr">
        <is>
          <t>18.06.2019</t>
        </is>
      </c>
    </row>
    <row r="33">
      <c r="A33" s="15" t="n">
        <v>30</v>
      </c>
      <c r="B33" s="15" t="inlineStr">
        <is>
          <t>№6</t>
        </is>
      </c>
      <c r="C33" s="15" t="inlineStr">
        <is>
          <t>act34_investigation.pdf</t>
        </is>
      </c>
      <c r="D33" s="15" t="inlineStr">
        <is>
          <t>21.07.2019</t>
        </is>
      </c>
    </row>
    <row r="34">
      <c r="A34" s="15" t="n">
        <v>31</v>
      </c>
      <c r="B34" s="15" t="inlineStr">
        <is>
          <t>№1</t>
        </is>
      </c>
      <c r="C34" s="15" t="inlineStr">
        <is>
          <t>kc2_act01_investigation.pdf</t>
        </is>
      </c>
      <c r="D34" s="15" t="inlineStr">
        <is>
          <t>25.04.2025</t>
        </is>
      </c>
    </row>
    <row r="35">
      <c r="A35" s="15" t="n">
        <v>32</v>
      </c>
      <c r="B35" s="15" t="inlineStr">
        <is>
          <t>№2</t>
        </is>
      </c>
      <c r="C35" s="15" t="inlineStr">
        <is>
          <t>kc2_act02_investigation.pdf</t>
        </is>
      </c>
      <c r="D35" s="15" t="inlineStr">
        <is>
          <t>02.07.2025</t>
        </is>
      </c>
    </row>
    <row r="36">
      <c r="A36" s="15" t="n">
        <v>33</v>
      </c>
      <c r="B36" s="15" t="inlineStr">
        <is>
          <t>№3</t>
        </is>
      </c>
      <c r="C36" s="15" t="inlineStr">
        <is>
          <t>kc2_act03_investigation.pdf</t>
        </is>
      </c>
      <c r="D36" s="15" t="inlineStr">
        <is>
          <t>12.07.2025</t>
        </is>
      </c>
    </row>
    <row r="37">
      <c r="A37" s="15" t="n">
        <v>34</v>
      </c>
      <c r="B37" s="15" t="inlineStr">
        <is>
          <t>№4</t>
        </is>
      </c>
      <c r="C37" s="15" t="inlineStr">
        <is>
          <t>kc2_act04_investigation.pdf</t>
        </is>
      </c>
      <c r="D37" s="15" t="inlineStr">
        <is>
          <t>24.07.2025</t>
        </is>
      </c>
    </row>
    <row r="38">
      <c r="A38" s="15" t="n">
        <v>35</v>
      </c>
      <c r="B38" s="15" t="inlineStr">
        <is>
          <t>№5</t>
        </is>
      </c>
      <c r="C38" s="15" t="inlineStr">
        <is>
          <t>kc2_act05_investigation.pdf</t>
        </is>
      </c>
      <c r="D38" s="15" t="inlineStr">
        <is>
          <t>03.08.2025</t>
        </is>
      </c>
    </row>
    <row r="39">
      <c r="A39" s="15" t="n">
        <v>36</v>
      </c>
      <c r="B39" s="15" t="inlineStr">
        <is>
          <t>№6</t>
        </is>
      </c>
      <c r="C39" s="15" t="inlineStr">
        <is>
          <t>kc2_act06_investigation.pdf</t>
        </is>
      </c>
      <c r="D39" s="15" t="inlineStr">
        <is>
          <t>07.08.2025</t>
        </is>
      </c>
    </row>
    <row r="40">
      <c r="A40" s="15" t="n">
        <v>37</v>
      </c>
      <c r="B40" s="15" t="inlineStr">
        <is>
          <t>№7</t>
        </is>
      </c>
      <c r="C40" s="15" t="inlineStr">
        <is>
          <t>kc2_act07_investigation.pdf</t>
        </is>
      </c>
      <c r="D40" s="15" t="inlineStr">
        <is>
          <t>08.08.2025</t>
        </is>
      </c>
    </row>
    <row r="41">
      <c r="A41" s="15" t="n">
        <v>38</v>
      </c>
      <c r="B41" s="15" t="inlineStr">
        <is>
          <t>№8</t>
        </is>
      </c>
      <c r="C41" s="15" t="inlineStr">
        <is>
          <t>kc2_act08_investigation.pdf</t>
        </is>
      </c>
      <c r="D41" s="15" t="inlineStr">
        <is>
          <t>14.09.2025</t>
        </is>
      </c>
    </row>
    <row r="42">
      <c r="A42" s="15" t="n">
        <v>39</v>
      </c>
      <c r="B42" s="15" t="inlineStr">
        <is>
          <t>№10</t>
        </is>
      </c>
      <c r="C42" s="15" t="inlineStr">
        <is>
          <t>kc2_act10_investigation.pdf</t>
        </is>
      </c>
      <c r="D42" s="15" t="inlineStr">
        <is>
          <t>18.11.2025</t>
        </is>
      </c>
    </row>
    <row r="43">
      <c r="A43" s="15" t="n">
        <v>40</v>
      </c>
      <c r="B43" s="15" t="inlineStr">
        <is>
          <t>№10</t>
        </is>
      </c>
      <c r="C43" s="15" t="inlineStr">
        <is>
          <t>kc2_act10_investigation.pdf</t>
        </is>
      </c>
      <c r="D43" s="15" t="inlineStr">
        <is>
          <t>19.11.2025</t>
        </is>
      </c>
    </row>
    <row r="44">
      <c r="A44" s="15" t="n">
        <v>41</v>
      </c>
      <c r="B44" s="15" t="inlineStr">
        <is>
          <t>№1</t>
        </is>
      </c>
      <c r="C44" s="15" t="inlineStr">
        <is>
          <t>sks2_act01_investigation.pdf</t>
        </is>
      </c>
      <c r="D44" s="15" t="inlineStr">
        <is>
          <t>03.02.2025</t>
        </is>
      </c>
    </row>
    <row r="45">
      <c r="A45" s="15" t="n">
        <v>42</v>
      </c>
      <c r="B45" s="15" t="inlineStr">
        <is>
          <t>№2</t>
        </is>
      </c>
      <c r="C45" s="15" t="inlineStr">
        <is>
          <t>sks2_act02_investigation.pdf</t>
        </is>
      </c>
      <c r="D45" s="15" t="inlineStr">
        <is>
          <t>20.03.2025</t>
        </is>
      </c>
    </row>
    <row r="46">
      <c r="A46" s="15" t="n">
        <v>43</v>
      </c>
      <c r="B46" s="15" t="inlineStr">
        <is>
          <t>№3</t>
        </is>
      </c>
      <c r="C46" s="15" t="inlineStr">
        <is>
          <t>sks2_act03_investigation.pdf</t>
        </is>
      </c>
      <c r="D46" s="15" t="inlineStr">
        <is>
          <t>24.03.2025</t>
        </is>
      </c>
    </row>
    <row r="47">
      <c r="A47" s="15" t="n">
        <v>44</v>
      </c>
      <c r="B47" s="15" t="inlineStr">
        <is>
          <t>№4</t>
        </is>
      </c>
      <c r="C47" s="15" t="inlineStr">
        <is>
          <t>sks2_act04_investigation.pdf</t>
        </is>
      </c>
      <c r="D47" s="15" t="inlineStr">
        <is>
          <t>01.04.2025</t>
        </is>
      </c>
    </row>
    <row r="48">
      <c r="A48" s="15" t="n">
        <v>45</v>
      </c>
      <c r="B48" s="15" t="inlineStr">
        <is>
          <t>№5</t>
        </is>
      </c>
      <c r="C48" s="15" t="inlineStr">
        <is>
          <t>sks2_act05_investigation.pdf</t>
        </is>
      </c>
      <c r="D48" s="15" t="inlineStr">
        <is>
          <t>09.05.2025</t>
        </is>
      </c>
    </row>
    <row r="49">
      <c r="A49" s="15" t="n">
        <v>46</v>
      </c>
      <c r="B49" s="15" t="inlineStr">
        <is>
          <t>№6</t>
        </is>
      </c>
      <c r="C49" s="15" t="inlineStr">
        <is>
          <t>sks2_act06_investigation.pdf</t>
        </is>
      </c>
      <c r="D49" s="15" t="inlineStr">
        <is>
          <t>07.09.2025</t>
        </is>
      </c>
    </row>
    <row r="50">
      <c r="A50" s="15" t="n">
        <v>47</v>
      </c>
      <c r="B50" s="15" t="inlineStr">
        <is>
          <t>№7</t>
        </is>
      </c>
      <c r="C50" s="15" t="inlineStr">
        <is>
          <t>sks2_act07_investigation.pdf</t>
        </is>
      </c>
      <c r="D50" s="15" t="inlineStr">
        <is>
          <t>13.11.2025</t>
        </is>
      </c>
    </row>
    <row r="51">
      <c r="A51" s="15" t="n">
        <v>48</v>
      </c>
      <c r="B51" s="15" t="inlineStr">
        <is>
          <t>№1</t>
        </is>
      </c>
      <c r="C51" s="15" t="inlineStr">
        <is>
          <t>sks2_act08_investigation.pdf</t>
        </is>
      </c>
      <c r="D51" s="15" t="inlineStr">
        <is>
          <t>30.09.2024</t>
        </is>
      </c>
    </row>
    <row r="52">
      <c r="A52" s="15" t="n">
        <v>49</v>
      </c>
      <c r="B52" s="15" t="inlineStr">
        <is>
          <t>№2</t>
        </is>
      </c>
      <c r="C52" s="15" t="inlineStr">
        <is>
          <t>sks2_act09_investigation.pdf</t>
        </is>
      </c>
      <c r="D52" s="15" t="inlineStr">
        <is>
          <t>30.11.2024</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2026-09-27T11:05:55Z</dcterms:created>
  <dcterms:modified xmlns:dcterms="http://purl.org/dc/terms/" xmlns:xsi="http://www.w3.org/2001/XMLSchema-instance" xsi:type="dcterms:W3CDTF">2026-09-27T11:05:55Z</dcterms:modified>
</cp:coreProperties>
</file>