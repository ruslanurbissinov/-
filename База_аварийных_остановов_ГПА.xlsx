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2" borderId="1" applyAlignment="1" pivotButton="0" quotePrefix="0" xfId="0">
      <alignment horizontal="center" vertical="center" wrapText="1"/>
    </xf>
    <xf numFmtId="0" fontId="7" fillId="0" borderId="1" applyAlignment="1" pivotButton="0" quotePrefix="0" xfId="0">
      <alignment horizontal="center" vertical="center"/>
    </xf>
    <xf numFmtId="0" fontId="3" fillId="0" borderId="1" applyAlignment="1" pivotButton="0" quotePrefix="0" xfId="0">
      <alignment horizontal="center" vertical="center"/>
    </xf>
    <xf numFmtId="0" fontId="7" fillId="3" borderId="1" applyAlignment="1" pivotButton="0" quotePrefix="0" xfId="0">
      <alignment horizontal="center" vertical="center"/>
    </xf>
    <xf numFmtId="0" fontId="9" fillId="3" borderId="1" applyAlignment="1" pivotButton="0" quotePrefix="0" xfId="0">
      <alignment horizontal="center" vertical="center"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164" fontId="13" fillId="0" borderId="1" applyAlignment="1" pivotButton="0" quotePrefix="0" xfId="0">
      <alignment vertical="center" wrapText="1"/>
    </xf>
    <xf numFmtId="0" fontId="7" fillId="3" borderId="1" pivotButton="0" quotePrefix="0" xfId="0"/>
    <xf numFmtId="164" fontId="7" fillId="3" borderId="1" pivotButton="0" quotePrefix="0" xfId="0"/>
    <xf numFmtId="0" fontId="14" fillId="0" borderId="1" applyAlignment="1" pivotButton="0" quotePrefix="0" xfId="0">
      <alignment vertical="top" wrapText="1"/>
    </xf>
    <xf numFmtId="0" fontId="0" fillId="0" borderId="1" applyAlignment="1" pivotButton="0" quotePrefix="0" xfId="0">
      <alignment vertical="top" wrapText="1"/>
    </xf>
    <xf numFmtId="0" fontId="1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61"/>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1" ht="28" customHeight="1">
      <c r="A61"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61:F6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6" customWidth="1" min="1" max="1"/>
    <col width="46" customWidth="1" min="2" max="2"/>
    <col width="12" customWidth="1" min="3" max="3"/>
    <col width="10" customWidth="1" min="4" max="4"/>
    <col width="16" customWidth="1" min="5" max="5"/>
    <col width="16" customWidth="1" min="6" max="6"/>
    <col width="11" customWidth="1" min="7" max="7"/>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ГПА</t>
        </is>
      </c>
      <c r="F3" s="2" t="inlineStr">
        <is>
          <t>Источник</t>
        </is>
      </c>
      <c r="G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ГПА №2</t>
        </is>
      </c>
      <c r="F4" s="6" t="inlineStr">
        <is>
          <t>Открыть акт (PDF)</t>
        </is>
      </c>
      <c r="G4" s="7"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ГПА №3</t>
        </is>
      </c>
      <c r="F5" s="6" t="inlineStr">
        <is>
          <t>Открыть акт (PDF)</t>
        </is>
      </c>
      <c r="G5" s="7"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ГПА №3</t>
        </is>
      </c>
      <c r="F6" s="6" t="inlineStr">
        <is>
          <t>Открыть акт (PDF)</t>
        </is>
      </c>
      <c r="G6" s="7"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ГПА №2</t>
        </is>
      </c>
      <c r="F7" s="6" t="inlineStr">
        <is>
          <t>Открыть акт (PDF)</t>
        </is>
      </c>
      <c r="G7" s="7"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ГПА №2</t>
        </is>
      </c>
      <c r="F8" s="6" t="inlineStr">
        <is>
          <t>Открыть акт (PDF)</t>
        </is>
      </c>
      <c r="G8" s="7"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ГПА №2, ГПА №3</t>
        </is>
      </c>
      <c r="F9" s="6" t="inlineStr">
        <is>
          <t>Открыть акт (PDF)</t>
        </is>
      </c>
      <c r="G9" s="7"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ГПА №2</t>
        </is>
      </c>
      <c r="F10" s="6" t="inlineStr">
        <is>
          <t>Открыть акт (PDF)</t>
        </is>
      </c>
      <c r="G10" s="7"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ГПА №2</t>
        </is>
      </c>
      <c r="F11" s="6" t="inlineStr">
        <is>
          <t>Открыть акт (PDF)</t>
        </is>
      </c>
      <c r="G11" s="7"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ГПА №1</t>
        </is>
      </c>
      <c r="F12" s="6" t="inlineStr">
        <is>
          <t>Открыть акт (PDF)</t>
        </is>
      </c>
      <c r="G12" s="7"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ГПА №1, ГПА №3</t>
        </is>
      </c>
      <c r="F13" s="6" t="inlineStr">
        <is>
          <t>Открыть акт (PDF)</t>
        </is>
      </c>
      <c r="G13" s="7"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ГПА №3</t>
        </is>
      </c>
      <c r="F14" s="6" t="inlineStr">
        <is>
          <t>Открыть акт (PDF)</t>
        </is>
      </c>
      <c r="G14" s="7"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ГПА №1</t>
        </is>
      </c>
      <c r="F15" s="6" t="inlineStr">
        <is>
          <t>Открыть акт (PDF)</t>
        </is>
      </c>
      <c r="G15" s="7"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ГПА №1, ГПА №3</t>
        </is>
      </c>
      <c r="F16" s="6" t="inlineStr">
        <is>
          <t>Открыть акт (PDF)</t>
        </is>
      </c>
      <c r="G16" s="7"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ГПА №1, ГПА №3</t>
        </is>
      </c>
      <c r="F17" s="6" t="inlineStr">
        <is>
          <t>Открыть акт (PDF)</t>
        </is>
      </c>
      <c r="G17" s="7"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ГПА №2</t>
        </is>
      </c>
      <c r="F18" s="6" t="inlineStr">
        <is>
          <t>Открыть акт (PDF)</t>
        </is>
      </c>
      <c r="G18" s="7"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ГПА №1</t>
        </is>
      </c>
      <c r="F19" s="6" t="inlineStr">
        <is>
          <t>Открыть акт (PDF)</t>
        </is>
      </c>
      <c r="G19" s="7"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ГПА №1, ГПА №2</t>
        </is>
      </c>
      <c r="F20" s="6" t="inlineStr">
        <is>
          <t>Открыть акт (PDF)</t>
        </is>
      </c>
      <c r="G20" s="7"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ГПА №3</t>
        </is>
      </c>
      <c r="F21" s="6" t="inlineStr">
        <is>
          <t>Открыть акт (PDF)</t>
        </is>
      </c>
      <c r="G21" s="7"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ГПА №2</t>
        </is>
      </c>
      <c r="F22" s="6" t="inlineStr">
        <is>
          <t>Открыть акт (PDF)</t>
        </is>
      </c>
      <c r="G22" s="7"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ГПА №2</t>
        </is>
      </c>
      <c r="F23" s="6" t="inlineStr">
        <is>
          <t>Открыть акт (PDF)</t>
        </is>
      </c>
      <c r="G23" s="7"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ГПА №1, ГПА №3</t>
        </is>
      </c>
      <c r="F24" s="6" t="inlineStr">
        <is>
          <t>Открыть акт (PDF)</t>
        </is>
      </c>
      <c r="G24" s="7"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ГПА №1</t>
        </is>
      </c>
      <c r="F25" s="6" t="inlineStr">
        <is>
          <t>Открыть акт (PDF)</t>
        </is>
      </c>
      <c r="G25" s="7"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ГПА №1, ГПА №3</t>
        </is>
      </c>
      <c r="F26" s="6" t="inlineStr">
        <is>
          <t>Открыть акт (PDF)</t>
        </is>
      </c>
      <c r="G26" s="7"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ГПА №1, ГПА №2</t>
        </is>
      </c>
      <c r="F27" s="6" t="inlineStr">
        <is>
          <t>Открыть акт (PDF)</t>
        </is>
      </c>
      <c r="G27" s="7"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ГПА №3</t>
        </is>
      </c>
      <c r="F28" s="6" t="inlineStr">
        <is>
          <t>Открыть акт (PDF)</t>
        </is>
      </c>
      <c r="G28" s="7"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ГПА №1, ГПА №2, ГПА №3</t>
        </is>
      </c>
      <c r="F29" s="6" t="inlineStr">
        <is>
          <t>Открыть акт (PDF)</t>
        </is>
      </c>
      <c r="G29" s="7"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ГПА №1, ГПА №2</t>
        </is>
      </c>
      <c r="F30" s="6" t="inlineStr">
        <is>
          <t>Открыть акт (PDF)</t>
        </is>
      </c>
      <c r="G30" s="7"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ГПА №3</t>
        </is>
      </c>
      <c r="F31" s="6" t="inlineStr">
        <is>
          <t>Открыть акт (PDF)</t>
        </is>
      </c>
      <c r="G31" s="7"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ГПА №1, ГПА №3</t>
        </is>
      </c>
      <c r="F32" s="6" t="inlineStr">
        <is>
          <t>Открыть акт (PDF)</t>
        </is>
      </c>
      <c r="G32" s="7"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ГПА №2, ГПА №3</t>
        </is>
      </c>
      <c r="F33" s="6" t="inlineStr">
        <is>
          <t>Открыть акт (PDF)</t>
        </is>
      </c>
      <c r="G33" s="7"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ГПА №1</t>
        </is>
      </c>
      <c r="F34" s="6" t="inlineStr">
        <is>
          <t>Открыть акт (PDF)</t>
        </is>
      </c>
      <c r="G34" s="7"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ГПА №1, ГПА №3</t>
        </is>
      </c>
      <c r="F35" s="6" t="inlineStr">
        <is>
          <t>Открыть акт (PDF)</t>
        </is>
      </c>
      <c r="G35" s="7"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ГПА №1</t>
        </is>
      </c>
      <c r="F36" s="6" t="inlineStr">
        <is>
          <t>Открыть акт (PDF)</t>
        </is>
      </c>
      <c r="G36" s="7"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ГПА №2, ГПА №3</t>
        </is>
      </c>
      <c r="F37" s="6" t="inlineStr">
        <is>
          <t>Открыть акт (PDF)</t>
        </is>
      </c>
      <c r="G37" s="7"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ГПА №1, ГПА №3</t>
        </is>
      </c>
      <c r="F38" s="6" t="inlineStr">
        <is>
          <t>Открыть акт (PDF)</t>
        </is>
      </c>
      <c r="G38" s="7"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ГПА №1</t>
        </is>
      </c>
      <c r="F39" s="6" t="inlineStr">
        <is>
          <t>Открыть акт (PDF)</t>
        </is>
      </c>
      <c r="G39" s="7"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ГПА №3</t>
        </is>
      </c>
      <c r="F40" s="6" t="inlineStr">
        <is>
          <t>Открыть акт (PDF)</t>
        </is>
      </c>
      <c r="G40" s="7"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ГПА №3</t>
        </is>
      </c>
      <c r="F41" s="6" t="inlineStr">
        <is>
          <t>Открыть акт (PDF)</t>
        </is>
      </c>
      <c r="G41" s="7"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ГПА №1</t>
        </is>
      </c>
      <c r="F42" s="6" t="inlineStr">
        <is>
          <t>Открыть акт (PDF)</t>
        </is>
      </c>
      <c r="G42" s="7"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ГПА №1</t>
        </is>
      </c>
      <c r="F43" s="6" t="inlineStr">
        <is>
          <t>Открыть акт (PDF)</t>
        </is>
      </c>
      <c r="G43" s="7" t="n">
        <v>89</v>
      </c>
    </row>
  </sheetData>
  <mergeCells count="1">
    <mergeCell ref="A1:G1"/>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8"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9" t="n">
        <v>2018</v>
      </c>
      <c r="B4" s="10">
        <f>IFERROR(IF(SUMIFS(База_данных!$C$4:$C$59,База_данных!$A$4:$A$59,A4,База_данных!$B$4:$B$59,"ГПА №1")=0,"",SUMIFS(База_данных!$C$4:$C$59,База_данных!$A$4:$A$59,A4,База_данных!$B$4:$B$59,"ГПА №1")),"")</f>
        <v/>
      </c>
      <c r="C4" s="10">
        <f>IFERROR(IF(SUMIFS(База_данных!$C$4:$C$59,База_данных!$A$4:$A$59,A4,База_данных!$B$4:$B$59,"ГПА №2")=0,"",SUMIFS(База_данных!$C$4:$C$59,База_данных!$A$4:$A$59,A4,База_данных!$B$4:$B$59,"ГПА №2")),"")</f>
        <v/>
      </c>
      <c r="D4" s="10">
        <f>IFERROR(IF(SUMIFS(База_данных!$C$4:$C$59,База_данных!$A$4:$A$59,A4,База_данных!$B$4:$B$59,"ГПА №3")=0,"",SUMIFS(База_данных!$C$4:$C$59,База_данных!$A$4:$A$59,A4,База_данных!$B$4:$B$59,"ГПА №3")),"")</f>
        <v/>
      </c>
    </row>
    <row r="5">
      <c r="A5" s="9" t="n">
        <v>2019</v>
      </c>
      <c r="B5" s="10">
        <f>IFERROR(IF(SUMIFS(База_данных!$C$4:$C$59,База_данных!$A$4:$A$59,A5,База_данных!$B$4:$B$59,"ГПА №1")=0,"",SUMIFS(База_данных!$C$4:$C$59,База_данных!$A$4:$A$59,A5,База_данных!$B$4:$B$59,"ГПА №1")),"")</f>
        <v/>
      </c>
      <c r="C5" s="10">
        <f>IFERROR(IF(SUMIFS(База_данных!$C$4:$C$59,База_данных!$A$4:$A$59,A5,База_данных!$B$4:$B$59,"ГПА №2")=0,"",SUMIFS(База_данных!$C$4:$C$59,База_данных!$A$4:$A$59,A5,База_данных!$B$4:$B$59,"ГПА №2")),"")</f>
        <v/>
      </c>
      <c r="D5" s="10">
        <f>IFERROR(IF(SUMIFS(База_данных!$C$4:$C$59,База_данных!$A$4:$A$59,A5,База_данных!$B$4:$B$59,"ГПА №3")=0,"",SUMIFS(База_данных!$C$4:$C$59,База_данных!$A$4:$A$59,A5,База_данных!$B$4:$B$59,"ГПА №3")),"")</f>
        <v/>
      </c>
    </row>
    <row r="6">
      <c r="A6" s="9" t="n">
        <v>2020</v>
      </c>
      <c r="B6" s="10">
        <f>IFERROR(IF(SUMIFS(База_данных!$C$4:$C$59,База_данных!$A$4:$A$59,A6,База_данных!$B$4:$B$59,"ГПА №1")=0,"",SUMIFS(База_данных!$C$4:$C$59,База_данных!$A$4:$A$59,A6,База_данных!$B$4:$B$59,"ГПА №1")),"")</f>
        <v/>
      </c>
      <c r="C6" s="10">
        <f>IFERROR(IF(SUMIFS(База_данных!$C$4:$C$59,База_данных!$A$4:$A$59,A6,База_данных!$B$4:$B$59,"ГПА №2")=0,"",SUMIFS(База_данных!$C$4:$C$59,База_данных!$A$4:$A$59,A6,База_данных!$B$4:$B$59,"ГПА №2")),"")</f>
        <v/>
      </c>
      <c r="D6" s="10">
        <f>IFERROR(IF(SUMIFS(База_данных!$C$4:$C$59,База_данных!$A$4:$A$59,A6,База_данных!$B$4:$B$59,"ГПА №3")=0,"",SUMIFS(База_данных!$C$4:$C$59,База_данных!$A$4:$A$59,A6,База_данных!$B$4:$B$59,"ГПА №3")),"")</f>
        <v/>
      </c>
    </row>
    <row r="7">
      <c r="A7" s="9" t="n">
        <v>2021</v>
      </c>
      <c r="B7" s="10">
        <f>IFERROR(IF(SUMIFS(База_данных!$C$4:$C$59,База_данных!$A$4:$A$59,A7,База_данных!$B$4:$B$59,"ГПА №1")=0,"",SUMIFS(База_данных!$C$4:$C$59,База_данных!$A$4:$A$59,A7,База_данных!$B$4:$B$59,"ГПА №1")),"")</f>
        <v/>
      </c>
      <c r="C7" s="10">
        <f>IFERROR(IF(SUMIFS(База_данных!$C$4:$C$59,База_данных!$A$4:$A$59,A7,База_данных!$B$4:$B$59,"ГПА №2")=0,"",SUMIFS(База_данных!$C$4:$C$59,База_данных!$A$4:$A$59,A7,База_данных!$B$4:$B$59,"ГПА №2")),"")</f>
        <v/>
      </c>
      <c r="D7" s="10">
        <f>IFERROR(IF(SUMIFS(База_данных!$C$4:$C$59,База_данных!$A$4:$A$59,A7,База_данных!$B$4:$B$59,"ГПА №3")=0,"",SUMIFS(База_данных!$C$4:$C$59,База_данных!$A$4:$A$59,A7,База_данных!$B$4:$B$59,"ГПА №3")),"")</f>
        <v/>
      </c>
    </row>
    <row r="8">
      <c r="A8" s="9" t="n">
        <v>2022</v>
      </c>
      <c r="B8" s="10">
        <f>IFERROR(IF(SUMIFS(База_данных!$C$4:$C$59,База_данных!$A$4:$A$59,A8,База_данных!$B$4:$B$59,"ГПА №1")=0,"",SUMIFS(База_данных!$C$4:$C$59,База_данных!$A$4:$A$59,A8,База_данных!$B$4:$B$59,"ГПА №1")),"")</f>
        <v/>
      </c>
      <c r="C8" s="10">
        <f>IFERROR(IF(SUMIFS(База_данных!$C$4:$C$59,База_данных!$A$4:$A$59,A8,База_данных!$B$4:$B$59,"ГПА №2")=0,"",SUMIFS(База_данных!$C$4:$C$59,База_данных!$A$4:$A$59,A8,База_данных!$B$4:$B$59,"ГПА №2")),"")</f>
        <v/>
      </c>
      <c r="D8" s="10">
        <f>IFERROR(IF(SUMIFS(База_данных!$C$4:$C$59,База_данных!$A$4:$A$59,A8,База_данных!$B$4:$B$59,"ГПА №3")=0,"",SUMIFS(База_данных!$C$4:$C$59,База_данных!$A$4:$A$59,A8,База_данных!$B$4:$B$59,"ГПА №3")),"")</f>
        <v/>
      </c>
    </row>
    <row r="9">
      <c r="A9" s="9" t="n">
        <v>2023</v>
      </c>
      <c r="B9" s="10">
        <f>IFERROR(IF(SUMIFS(База_данных!$C$4:$C$59,База_данных!$A$4:$A$59,A9,База_данных!$B$4:$B$59,"ГПА №1")=0,"",SUMIFS(База_данных!$C$4:$C$59,База_данных!$A$4:$A$59,A9,База_данных!$B$4:$B$59,"ГПА №1")),"")</f>
        <v/>
      </c>
      <c r="C9" s="10">
        <f>IFERROR(IF(SUMIFS(База_данных!$C$4:$C$59,База_данных!$A$4:$A$59,A9,База_данных!$B$4:$B$59,"ГПА №2")=0,"",SUMIFS(База_данных!$C$4:$C$59,База_данных!$A$4:$A$59,A9,База_данных!$B$4:$B$59,"ГПА №2")),"")</f>
        <v/>
      </c>
      <c r="D9" s="10">
        <f>IFERROR(IF(SUMIFS(База_данных!$C$4:$C$59,База_данных!$A$4:$A$59,A9,База_данных!$B$4:$B$59,"ГПА №3")=0,"",SUMIFS(База_данных!$C$4:$C$59,База_данных!$A$4:$A$59,A9,База_данных!$B$4:$B$59,"ГПА №3")),"")</f>
        <v/>
      </c>
    </row>
    <row r="10">
      <c r="A10" s="9" t="n">
        <v>2024</v>
      </c>
      <c r="B10" s="10">
        <f>IFERROR(IF(SUMIFS(База_данных!$C$4:$C$59,База_данных!$A$4:$A$59,A10,База_данных!$B$4:$B$59,"ГПА №1")=0,"",SUMIFS(База_данных!$C$4:$C$59,База_данных!$A$4:$A$59,A10,База_данных!$B$4:$B$59,"ГПА №1")),"")</f>
        <v/>
      </c>
      <c r="C10" s="10">
        <f>IFERROR(IF(SUMIFS(База_данных!$C$4:$C$59,База_данных!$A$4:$A$59,A10,База_данных!$B$4:$B$59,"ГПА №2")=0,"",SUMIFS(База_данных!$C$4:$C$59,База_данных!$A$4:$A$59,A10,База_данных!$B$4:$B$59,"ГПА №2")),"")</f>
        <v/>
      </c>
      <c r="D10" s="10">
        <f>IFERROR(IF(SUMIFS(База_данных!$C$4:$C$59,База_данных!$A$4:$A$59,A10,База_данных!$B$4:$B$59,"ГПА №3")=0,"",SUMIFS(База_данных!$C$4:$C$59,База_данных!$A$4:$A$59,A10,База_данных!$B$4:$B$59,"ГПА №3")),"")</f>
        <v/>
      </c>
    </row>
    <row r="11">
      <c r="A11" s="9" t="n">
        <v>2025</v>
      </c>
      <c r="B11" s="10">
        <f>IFERROR(IF(SUMIFS(База_данных!$C$4:$C$59,База_данных!$A$4:$A$59,A11,База_данных!$B$4:$B$59,"ГПА №1")=0,"",SUMIFS(База_данных!$C$4:$C$59,База_данных!$A$4:$A$59,A11,База_данных!$B$4:$B$59,"ГПА №1")),"")</f>
        <v/>
      </c>
      <c r="C11" s="10">
        <f>IFERROR(IF(SUMIFS(База_данных!$C$4:$C$59,База_данных!$A$4:$A$59,A11,База_данных!$B$4:$B$59,"ГПА №2")=0,"",SUMIFS(База_данных!$C$4:$C$59,База_данных!$A$4:$A$59,A11,База_данных!$B$4:$B$59,"ГПА №2")),"")</f>
        <v/>
      </c>
      <c r="D11" s="10">
        <f>IFERROR(IF(SUMIFS(База_данных!$C$4:$C$59,База_данных!$A$4:$A$59,A11,База_данных!$B$4:$B$59,"ГПА №3")=0,"",SUMIFS(База_данных!$C$4:$C$59,База_данных!$A$4:$A$59,A11,База_данных!$B$4:$B$59,"ГПА №3")),"")</f>
        <v/>
      </c>
    </row>
    <row r="12">
      <c r="A12" s="9" t="n">
        <v>2026</v>
      </c>
      <c r="B12" s="10">
        <f>IFERROR(IF(SUMIFS(База_данных!$C$4:$C$59,База_данных!$A$4:$A$59,A12,База_данных!$B$4:$B$59,"ГПА №1")=0,"",SUMIFS(База_данных!$C$4:$C$59,База_данных!$A$4:$A$59,A12,База_данных!$B$4:$B$59,"ГПА №1")),"")</f>
        <v/>
      </c>
      <c r="C12" s="10">
        <f>IFERROR(IF(SUMIFS(База_данных!$C$4:$C$59,База_данных!$A$4:$A$59,A12,База_данных!$B$4:$B$59,"ГПА №2")=0,"",SUMIFS(База_данных!$C$4:$C$59,База_данных!$A$4:$A$59,A12,База_данных!$B$4:$B$59,"ГПА №2")),"")</f>
        <v/>
      </c>
      <c r="D12" s="10">
        <f>IFERROR(IF(SUMIFS(База_данных!$C$4:$C$59,База_данных!$A$4:$A$59,A12,База_данных!$B$4:$B$59,"ГПА №3")=0,"",SUMIFS(База_данных!$C$4:$C$59,База_данных!$A$4:$A$59,A12,База_данных!$B$4:$B$59,"ГПА №3")),"")</f>
        <v/>
      </c>
    </row>
    <row r="13">
      <c r="A13" s="11" t="inlineStr">
        <is>
          <t>ИТОГО</t>
        </is>
      </c>
      <c r="B13" s="11">
        <f>SUMIFS(База_данных!$C$4:$C$59,База_данных!$B$4:$B$59,"ГПА №1")</f>
        <v/>
      </c>
      <c r="C13" s="11">
        <f>SUMIFS(База_данных!$C$4:$C$59,База_данных!$B$4:$B$59,"ГПА №2")</f>
        <v/>
      </c>
      <c r="D13" s="11">
        <f>SUMIFS(База_данных!$C$4:$C$59,База_данных!$B$4:$B$59,"ГПА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3"/>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8" t="inlineStr">
        <is>
          <t>ДЕТАЛИЗАЦИЯ ИНЦИДЕНТОВ ПО АКТАМ ТЕХНИЧЕСКОГО РАССЛЕДОВАНИЯ</t>
        </is>
      </c>
    </row>
    <row r="3">
      <c r="A3" s="12" t="inlineStr">
        <is>
          <t>№ Акта</t>
        </is>
      </c>
      <c r="B3" s="12" t="inlineStr">
        <is>
          <t>Дата</t>
        </is>
      </c>
      <c r="C3" s="12" t="inlineStr">
        <is>
          <t>Время</t>
        </is>
      </c>
      <c r="D3" s="12" t="inlineStr">
        <is>
          <t>ГПА</t>
        </is>
      </c>
      <c r="E3" s="12" t="inlineStr">
        <is>
          <t>Тип останова</t>
        </is>
      </c>
      <c r="F3" s="12" t="inlineStr">
        <is>
          <t>Категория причины</t>
        </is>
      </c>
      <c r="G3" s="12" t="inlineStr">
        <is>
          <t>Обстоятельства, при которых произошел останов (п.6)</t>
        </is>
      </c>
      <c r="H3" s="12" t="inlineStr">
        <is>
          <t>Меры при останове</t>
        </is>
      </c>
      <c r="I3" s="12" t="inlineStr">
        <is>
          <t>Заключение / Принятые меры</t>
        </is>
      </c>
    </row>
    <row r="4" ht="95" customHeight="1">
      <c r="A4" s="13" t="inlineStr">
        <is>
          <t>№1 от 10.06.2020</t>
        </is>
      </c>
      <c r="B4" s="14" t="inlineStr">
        <is>
          <t>10.06.2020</t>
        </is>
      </c>
      <c r="C4" s="14" t="inlineStr">
        <is>
          <t>10:29</t>
        </is>
      </c>
      <c r="D4" s="14" t="inlineStr">
        <is>
          <t>ГПА №2</t>
        </is>
      </c>
      <c r="E4" s="14" t="inlineStr">
        <is>
          <t>Автоматический</t>
        </is>
      </c>
      <c r="F4" s="14" t="inlineStr">
        <is>
          <t>Электросеть / переключение агрегатов</t>
        </is>
      </c>
      <c r="G4" s="15"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5" t="inlineStr"/>
      <c r="I4" s="15" t="inlineStr">
        <is>
          <t xml:space="preserve">ГПЭС №1 выведен в «резерв».
</t>
        </is>
      </c>
    </row>
    <row r="5" ht="95" customHeight="1">
      <c r="A5" s="13" t="inlineStr">
        <is>
          <t>№1 от 01.02.2022</t>
        </is>
      </c>
      <c r="B5" s="14" t="inlineStr">
        <is>
          <t>01.02.2022</t>
        </is>
      </c>
      <c r="C5" s="14" t="inlineStr">
        <is>
          <t>23:43</t>
        </is>
      </c>
      <c r="D5" s="14" t="inlineStr">
        <is>
          <t>ГПА №3</t>
        </is>
      </c>
      <c r="E5" s="14" t="inlineStr">
        <is>
          <t>Автоматический</t>
        </is>
      </c>
      <c r="F5" s="14" t="inlineStr">
        <is>
          <t>Настройка/калибровка камеры сгорания (DLE)</t>
        </is>
      </c>
      <c r="G5" s="15"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5" t="inlineStr">
        <is>
          <t>Проверка клапанов CDP/FCV-104/105/107, протяжка контактов клапанов и датчиков пламени BE-473 A/B.</t>
        </is>
      </c>
      <c r="I5" s="15"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3" t="inlineStr">
        <is>
          <t>№2 от 11.03.2022</t>
        </is>
      </c>
      <c r="B6" s="14" t="inlineStr">
        <is>
          <t>11.03.2022</t>
        </is>
      </c>
      <c r="C6" s="14" t="inlineStr">
        <is>
          <t>19:43</t>
        </is>
      </c>
      <c r="D6" s="14" t="inlineStr">
        <is>
          <t>ГПА №3</t>
        </is>
      </c>
      <c r="E6" s="14" t="inlineStr">
        <is>
          <t>Автоматический</t>
        </is>
      </c>
      <c r="F6" s="14" t="inlineStr">
        <is>
          <t>Настройка/калибровка камеры сгорания (DLE)</t>
        </is>
      </c>
      <c r="G6" s="15"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5" t="inlineStr">
        <is>
          <t>Проверка CDP-клапана FCV-211 и дозирующих клапанов FCV-104/105/107, протяжка контактов клапанов и датчиков пламени BE-473 A/B.</t>
        </is>
      </c>
      <c r="I6" s="15"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3" t="inlineStr">
        <is>
          <t>№3 от 25.04.2022</t>
        </is>
      </c>
      <c r="B7" s="14" t="inlineStr">
        <is>
          <t>25.04.2022</t>
        </is>
      </c>
      <c r="C7" s="14" t="inlineStr">
        <is>
          <t>10:14</t>
        </is>
      </c>
      <c r="D7" s="14" t="inlineStr">
        <is>
          <t>ГПА №2</t>
        </is>
      </c>
      <c r="E7" s="14" t="inlineStr">
        <is>
          <t>Автоматический</t>
        </is>
      </c>
      <c r="F7" s="14" t="inlineStr">
        <is>
          <t>Человеческий фактор</t>
        </is>
      </c>
      <c r="G7" s="15"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5" t="inlineStr"/>
      <c r="I7" s="15" t="inlineStr">
        <is>
          <t xml:space="preserve">ГПА №2 выведен в «резерв». Систему пожаротушения CO2 необходимо модернизировать.
</t>
        </is>
      </c>
    </row>
    <row r="8" ht="95" customHeight="1">
      <c r="A8" s="13" t="inlineStr">
        <is>
          <t>№5 от 07.06.2022</t>
        </is>
      </c>
      <c r="B8" s="14" t="inlineStr">
        <is>
          <t>07.06.2022</t>
        </is>
      </c>
      <c r="C8" s="14" t="inlineStr">
        <is>
          <t>18:56</t>
        </is>
      </c>
      <c r="D8" s="14" t="inlineStr">
        <is>
          <t>ГПА №2</t>
        </is>
      </c>
      <c r="E8" s="14" t="inlineStr">
        <is>
          <t>Автоматический</t>
        </is>
      </c>
      <c r="F8" s="14" t="inlineStr">
        <is>
          <t>Ложное срабатывание КИП</t>
        </is>
      </c>
      <c r="G8" s="15"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5" t="inlineStr">
        <is>
          <t>Контрольная проверка работоспособности свечного крана XV-784 перед запуском ГПА.</t>
        </is>
      </c>
      <c r="I8" s="15"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3" t="inlineStr">
        <is>
          <t>№1 от 11.03.2023</t>
        </is>
      </c>
      <c r="B9" s="14" t="inlineStr">
        <is>
          <t>11.03.2023</t>
        </is>
      </c>
      <c r="C9" s="14" t="inlineStr">
        <is>
          <t>10:08</t>
        </is>
      </c>
      <c r="D9" s="14" t="inlineStr">
        <is>
          <t>ГПА №2, ГПА №3</t>
        </is>
      </c>
      <c r="E9" s="14" t="inlineStr">
        <is>
          <t>Автоматический</t>
        </is>
      </c>
      <c r="F9" s="14" t="inlineStr">
        <is>
          <t>Техническая неисправность оборудования</t>
        </is>
      </c>
      <c r="G9" s="15"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5" t="inlineStr"/>
      <c r="I9" s="15" t="inlineStr">
        <is>
          <t xml:space="preserve">ГПЭС №3 выведен в «резерв», ожидается приезд специалистов ТОО «ГазСервСтрой».
</t>
        </is>
      </c>
    </row>
    <row r="10" ht="113" customHeight="1">
      <c r="A10" s="13" t="inlineStr">
        <is>
          <t>№2 от 14.04.2023</t>
        </is>
      </c>
      <c r="B10" s="14" t="inlineStr">
        <is>
          <t>14.04.2023</t>
        </is>
      </c>
      <c r="C10" s="14" t="inlineStr">
        <is>
          <t>16:52</t>
        </is>
      </c>
      <c r="D10" s="14" t="inlineStr">
        <is>
          <t>ГПА №2</t>
        </is>
      </c>
      <c r="E10" s="14" t="inlineStr">
        <is>
          <t>Автоматический</t>
        </is>
      </c>
      <c r="F10" s="14" t="inlineStr">
        <is>
          <t>Отказ оборудования КИПиА</t>
        </is>
      </c>
      <c r="G10" s="15"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5" t="inlineStr">
        <is>
          <t>Выявление и замена неисправного модуля изолятора Railbus №RB6-2 в шкафу RIO Panel JB-2.
Повреждено: Модуль изолятор Railbus (MTL 8000 I/O 8922-RB-IS), тэговый №RB6-2</t>
        </is>
      </c>
      <c r="I10" s="15"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3" t="inlineStr">
        <is>
          <t>№5 от 06.06.2023</t>
        </is>
      </c>
      <c r="B11" s="14" t="inlineStr">
        <is>
          <t>06.06.2023</t>
        </is>
      </c>
      <c r="C11" s="14" t="inlineStr">
        <is>
          <t>15:23</t>
        </is>
      </c>
      <c r="D11" s="14" t="inlineStr">
        <is>
          <t>ГПА №2</t>
        </is>
      </c>
      <c r="E11" s="14" t="inlineStr">
        <is>
          <t>Автоматический</t>
        </is>
      </c>
      <c r="F11" s="14" t="inlineStr">
        <is>
          <t>Ложное срабатывание КИП</t>
        </is>
      </c>
      <c r="G11" s="15"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5" t="inlineStr">
        <is>
          <t>Проверка блока управления краном и импульсных трубок, ревизия соленоидного клапана, протяжка контактов концевых выключателей XV-4204.</t>
        </is>
      </c>
      <c r="I11" s="15"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3" t="inlineStr">
        <is>
          <t>№1 от 04.03.2024</t>
        </is>
      </c>
      <c r="B12" s="14" t="inlineStr">
        <is>
          <t>04.03.2024</t>
        </is>
      </c>
      <c r="C12" s="14" t="inlineStr">
        <is>
          <t>08:06</t>
        </is>
      </c>
      <c r="D12" s="14" t="inlineStr">
        <is>
          <t>ГПА №1</t>
        </is>
      </c>
      <c r="E12" s="14" t="inlineStr">
        <is>
          <t>Автоматический</t>
        </is>
      </c>
      <c r="F12" s="14" t="inlineStr">
        <is>
          <t>Отказ оборудования КИПиА</t>
        </is>
      </c>
      <c r="G12" s="15"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5" t="inlineStr">
        <is>
          <t>Горячая замена модуля аналогового ввода MTL8000 RTD 8106-TI-RT (RIO R1).</t>
        </is>
      </c>
      <c r="I12" s="15" t="inlineStr">
        <is>
          <t>ГПА №1 выведен в «резерв».
Горячая замена модуля аналогового ввода MTL8000 RTD 8106-TI-RT (RIO R1).</t>
        </is>
      </c>
    </row>
    <row r="13" ht="95" customHeight="1">
      <c r="A13" s="13" t="inlineStr">
        <is>
          <t>№2 от 11.03.2024</t>
        </is>
      </c>
      <c r="B13" s="14" t="inlineStr">
        <is>
          <t>11.03.2024</t>
        </is>
      </c>
      <c r="C13" s="14" t="inlineStr">
        <is>
          <t>14:50</t>
        </is>
      </c>
      <c r="D13" s="14" t="inlineStr">
        <is>
          <t>ГПА №1, ГПА №3</t>
        </is>
      </c>
      <c r="E13" s="14" t="inlineStr">
        <is>
          <t>Вынужденный нормальный</t>
        </is>
      </c>
      <c r="F13" s="14" t="inlineStr">
        <is>
          <t>Техническая неисправность (вспомогательные системы)</t>
        </is>
      </c>
      <c r="G13" s="15"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5" t="inlineStr">
        <is>
          <t>Перезагрузка ПЛК и комплексное опробование осушительной установки.</t>
        </is>
      </c>
      <c r="I13" s="15" t="inlineStr">
        <is>
          <t>ГПА №1,3 перезапущены в работу.
Перезагрузка ПЛК и комплексное опробование осушительной установки.</t>
        </is>
      </c>
    </row>
    <row r="14" ht="95" customHeight="1">
      <c r="A14" s="13" t="inlineStr">
        <is>
          <t>№3 от 10.05.2024</t>
        </is>
      </c>
      <c r="B14" s="14" t="inlineStr">
        <is>
          <t>10.05.2024</t>
        </is>
      </c>
      <c r="C14" s="14" t="inlineStr">
        <is>
          <t>10:54</t>
        </is>
      </c>
      <c r="D14" s="14" t="inlineStr">
        <is>
          <t>ГПА №3</t>
        </is>
      </c>
      <c r="E14" s="14" t="inlineStr">
        <is>
          <t>Автоматический</t>
        </is>
      </c>
      <c r="F14" s="14" t="inlineStr">
        <is>
          <t>Ложное срабатывание КИП / связь</t>
        </is>
      </c>
      <c r="G14" s="15"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5" t="inlineStr">
        <is>
          <t>Замена коммутаторов NTRON 509 системы HIMA. Калибровка датчиков загазованности AE 557 A,B,C.</t>
        </is>
      </c>
      <c r="I14" s="15"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3" t="inlineStr">
        <is>
          <t>№4 от 28.12.2024</t>
        </is>
      </c>
      <c r="B15" s="14" t="inlineStr">
        <is>
          <t>28.12.2024</t>
        </is>
      </c>
      <c r="C15" s="14" t="inlineStr">
        <is>
          <t>23:50</t>
        </is>
      </c>
      <c r="D15" s="14" t="inlineStr">
        <is>
          <t>ГПА №1</t>
        </is>
      </c>
      <c r="E15" s="14" t="inlineStr">
        <is>
          <t>Автоматический</t>
        </is>
      </c>
      <c r="F15" s="14" t="inlineStr">
        <is>
          <t>Электросеть / синхронизация агрегатов</t>
        </is>
      </c>
      <c r="G15" s="15"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5" t="inlineStr">
        <is>
          <t>Проверка трендов, бороскопия цилиндров, ревизия генераторов, турбокомпрессоров — дефектов не обнаружено. Замена 16 свечей зажигания.</t>
        </is>
      </c>
      <c r="I15" s="15"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3" t="inlineStr">
        <is>
          <t>№1 от 02.05.2025</t>
        </is>
      </c>
      <c r="B16" s="14" t="inlineStr">
        <is>
          <t>02.05.2025</t>
        </is>
      </c>
      <c r="C16" s="14" t="inlineStr">
        <is>
          <t>19:00</t>
        </is>
      </c>
      <c r="D16" s="14" t="inlineStr">
        <is>
          <t>ГПА №1, ГПА №3</t>
        </is>
      </c>
      <c r="E16" s="14" t="inlineStr">
        <is>
          <t>Автоматический</t>
        </is>
      </c>
      <c r="F16" s="14" t="inlineStr">
        <is>
          <t>Внешняя/неподтвержденная причина</t>
        </is>
      </c>
      <c r="G16" s="15"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5" t="inlineStr">
        <is>
          <t>Открыта байпасная линия подачи газа на теплообменник. Ревизия шкафа управления теплообменника — дефектов не выявлено.</t>
        </is>
      </c>
      <c r="I16" s="15"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3" t="inlineStr">
        <is>
          <t>№1 от 27.04.2026</t>
        </is>
      </c>
      <c r="B17" s="14" t="inlineStr">
        <is>
          <t>27.04.2026</t>
        </is>
      </c>
      <c r="C17" s="14" t="inlineStr">
        <is>
          <t>08:05</t>
        </is>
      </c>
      <c r="D17" s="14" t="inlineStr">
        <is>
          <t>ГПА №1, ГПА №3</t>
        </is>
      </c>
      <c r="E17" s="14" t="inlineStr">
        <is>
          <t>Автоматический</t>
        </is>
      </c>
      <c r="F17" s="14" t="inlineStr">
        <is>
          <t>Техническая неисправность оборудования</t>
        </is>
      </c>
      <c r="G17" s="15"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5" t="inlineStr">
        <is>
          <t xml:space="preserve">
Повреждено: Выявлены дефекты (повреждение) выпускных клапанов в цилиндрах №2,4,6,8,9,11 ГПЭС№3</t>
        </is>
      </c>
      <c r="I17" s="15" t="inlineStr">
        <is>
          <t xml:space="preserve">ГПЭС №3 выведен в «ремонт» — требуется замена ГБЦ №2,4,6,8,9,11.
</t>
        </is>
      </c>
    </row>
    <row r="18" ht="113" customHeight="1">
      <c r="A18" s="13" t="inlineStr">
        <is>
          <t>№4 от 01.06.2023</t>
        </is>
      </c>
      <c r="B18" s="14" t="inlineStr">
        <is>
          <t>01.06.2023</t>
        </is>
      </c>
      <c r="C18" s="14" t="inlineStr">
        <is>
          <t>22:00</t>
        </is>
      </c>
      <c r="D18" s="14" t="inlineStr">
        <is>
          <t>ГПА №2</t>
        </is>
      </c>
      <c r="E18" s="14" t="inlineStr">
        <is>
          <t>Вынужденный нормальный</t>
        </is>
      </c>
      <c r="F18" s="14" t="inlineStr">
        <is>
          <t>Техническая неисправность оборудования</t>
        </is>
      </c>
      <c r="G18" s="15"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5"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5"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3" t="inlineStr">
        <is>
          <t>№3 от 07.03.2018</t>
        </is>
      </c>
      <c r="B19" s="14" t="inlineStr">
        <is>
          <t>07.03.2018</t>
        </is>
      </c>
      <c r="C19" s="14" t="inlineStr">
        <is>
          <t>04:58</t>
        </is>
      </c>
      <c r="D19" s="14" t="inlineStr">
        <is>
          <t>ГПА №1</t>
        </is>
      </c>
      <c r="E19" s="14" t="inlineStr">
        <is>
          <t>Автоматический</t>
        </is>
      </c>
      <c r="F19" s="14" t="inlineStr">
        <is>
          <t>Отказ оборудования КИПиА</t>
        </is>
      </c>
      <c r="G19" s="15"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5"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5"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3" t="inlineStr">
        <is>
          <t>№4 от 30.03.2018</t>
        </is>
      </c>
      <c r="B20" s="14" t="inlineStr">
        <is>
          <t>30.03.2018</t>
        </is>
      </c>
      <c r="C20" s="14" t="inlineStr">
        <is>
          <t>13:39</t>
        </is>
      </c>
      <c r="D20" s="14" t="inlineStr">
        <is>
          <t>ГПА №1, ГПА №2</t>
        </is>
      </c>
      <c r="E20" s="14" t="inlineStr">
        <is>
          <t>Автоматический</t>
        </is>
      </c>
      <c r="F20" s="14" t="inlineStr">
        <is>
          <t>Техническая неисправность (вспомогательные системы)</t>
        </is>
      </c>
      <c r="G20" s="15"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5" t="inlineStr">
        <is>
          <t>Произведена замена вводного автомата шкафа управления АВО антифриза на ГПА№1.</t>
        </is>
      </c>
      <c r="I20" s="15" t="inlineStr">
        <is>
          <t>ГПА №1 выведен в «резерв».
Произведена замена вводного автомата шкафа управления АВО антифриза на ГПА№1.</t>
        </is>
      </c>
    </row>
    <row r="21" ht="95" customHeight="1">
      <c r="A21" s="13" t="inlineStr">
        <is>
          <t>№6 от 24.05.2018</t>
        </is>
      </c>
      <c r="B21" s="14" t="inlineStr">
        <is>
          <t>24.05.2018</t>
        </is>
      </c>
      <c r="C21" s="14" t="inlineStr">
        <is>
          <t>11:48</t>
        </is>
      </c>
      <c r="D21" s="14" t="inlineStr">
        <is>
          <t>ГПА №3</t>
        </is>
      </c>
      <c r="E21" s="14" t="inlineStr">
        <is>
          <t>Вынужденный нормальный</t>
        </is>
      </c>
      <c r="F21" s="14" t="inlineStr">
        <is>
          <t>Ложное срабатывание КИП</t>
        </is>
      </c>
      <c r="G21" s="15"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5" t="inlineStr">
        <is>
          <t>Произведена протяжка креплений и механизма концевого выключателя датчика рабочего положения клапана FCV-780 (Hot bypass).</t>
        </is>
      </c>
      <c r="I21" s="15"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3" t="inlineStr">
        <is>
          <t>№7 от 28.05.2018</t>
        </is>
      </c>
      <c r="B22" s="14" t="inlineStr">
        <is>
          <t>28.05.2018</t>
        </is>
      </c>
      <c r="C22" s="14" t="inlineStr">
        <is>
          <t>02:20</t>
        </is>
      </c>
      <c r="D22" s="14" t="inlineStr">
        <is>
          <t>ГПА №2</t>
        </is>
      </c>
      <c r="E22" s="14" t="inlineStr">
        <is>
          <t>Вынужденный нормальный</t>
        </is>
      </c>
      <c r="F22" s="14" t="inlineStr">
        <is>
          <t>Отказ оборудования КИПиА</t>
        </is>
      </c>
      <c r="G22" s="15"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5"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5"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3" t="inlineStr">
        <is>
          <t>№1 от 03.02.2018</t>
        </is>
      </c>
      <c r="B23" s="14" t="inlineStr">
        <is>
          <t>03.02.2018</t>
        </is>
      </c>
      <c r="C23" s="14" t="inlineStr">
        <is>
          <t>03:40</t>
        </is>
      </c>
      <c r="D23" s="14" t="inlineStr">
        <is>
          <t>ГПА №2</t>
        </is>
      </c>
      <c r="E23" s="14" t="inlineStr">
        <is>
          <t>Вынужденный нормальный</t>
        </is>
      </c>
      <c r="F23" s="14" t="inlineStr">
        <is>
          <t>Отказ оборудования КИПиА</t>
        </is>
      </c>
      <c r="G23" s="15"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5"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5"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3" t="inlineStr">
        <is>
          <t>№2 от 21.02.2018</t>
        </is>
      </c>
      <c r="B24" s="14" t="inlineStr">
        <is>
          <t>21.02.2018</t>
        </is>
      </c>
      <c r="C24" s="14" t="inlineStr">
        <is>
          <t>02:07</t>
        </is>
      </c>
      <c r="D24" s="14" t="inlineStr">
        <is>
          <t>ГПА №1, ГПА №3</t>
        </is>
      </c>
      <c r="E24" s="14" t="inlineStr">
        <is>
          <t>Автоматический</t>
        </is>
      </c>
      <c r="F24" s="14" t="inlineStr">
        <is>
          <t>Техническая неисправность (вспомогательные системы)</t>
        </is>
      </c>
      <c r="G24" s="15"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5" t="inlineStr">
        <is>
          <t>Произведена замена датчика температуры охлаждающей жидкости на ГПЭС№3.</t>
        </is>
      </c>
      <c r="I24" s="15" t="inlineStr">
        <is>
          <t>ГПЭС №3 выведен в «резерв».
Произведена замена датчика температуры охлаждающей жидкости на ГПЭС№3.</t>
        </is>
      </c>
    </row>
    <row r="25" ht="95" customHeight="1">
      <c r="A25" s="13" t="inlineStr">
        <is>
          <t>№5 от 30.03.2018</t>
        </is>
      </c>
      <c r="B25" s="14" t="inlineStr">
        <is>
          <t>30.03.2018</t>
        </is>
      </c>
      <c r="C25" s="14" t="inlineStr">
        <is>
          <t>14:32</t>
        </is>
      </c>
      <c r="D25" s="14" t="inlineStr">
        <is>
          <t>ГПА №1</t>
        </is>
      </c>
      <c r="E25" s="14" t="inlineStr">
        <is>
          <t>Вынужденный нормальный</t>
        </is>
      </c>
      <c r="F25" s="14" t="inlineStr">
        <is>
          <t>Ложное срабатывание КИП</t>
        </is>
      </c>
      <c r="G25" s="15"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5"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5"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3" t="inlineStr">
        <is>
          <t>№8 от 25.06.2018</t>
        </is>
      </c>
      <c r="B26" s="14" t="inlineStr">
        <is>
          <t>25.06.2018</t>
        </is>
      </c>
      <c r="C26" s="14" t="inlineStr">
        <is>
          <t>09:40</t>
        </is>
      </c>
      <c r="D26" s="14" t="inlineStr">
        <is>
          <t>ГПА №1, ГПА №3</t>
        </is>
      </c>
      <c r="E26" s="14" t="inlineStr">
        <is>
          <t>Автоматический</t>
        </is>
      </c>
      <c r="F26" s="14" t="inlineStr">
        <is>
          <t>Отказ оборудования КИПиА</t>
        </is>
      </c>
      <c r="G26" s="15"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5" t="inlineStr">
        <is>
          <t>Произведена замена микропроцессора вводного автомата К51-PR122/P ГПЭС№3.</t>
        </is>
      </c>
      <c r="I26" s="15" t="inlineStr">
        <is>
          <t>ГПЭС №3 выведен в «резерв».
Произведена замена микропроцессора вводного автомата К51-PR122/P ГПЭС№3.</t>
        </is>
      </c>
    </row>
    <row r="27" ht="95" customHeight="1">
      <c r="A27" s="13" t="inlineStr">
        <is>
          <t>№9 от 26.06.2018</t>
        </is>
      </c>
      <c r="B27" s="14" t="inlineStr">
        <is>
          <t>26.06.2018</t>
        </is>
      </c>
      <c r="C27" s="14" t="inlineStr">
        <is>
          <t>03:04</t>
        </is>
      </c>
      <c r="D27" s="14" t="inlineStr">
        <is>
          <t>ГПА №1, ГПА №2</t>
        </is>
      </c>
      <c r="E27" s="14" t="inlineStr">
        <is>
          <t>Автоматический</t>
        </is>
      </c>
      <c r="F27" s="14" t="inlineStr">
        <is>
          <t>Электросеть / переключение агрегатов</t>
        </is>
      </c>
      <c r="G27" s="15"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5" t="inlineStr">
        <is>
          <t>Произведена замена предохранительной колодки ГПЭС№1.</t>
        </is>
      </c>
      <c r="I27" s="15" t="inlineStr">
        <is>
          <t>ГПЭС №1 выведен в «резерв».
Произведена замена предохранительной колодки ГПЭС№1.</t>
        </is>
      </c>
    </row>
    <row r="28" ht="95" customHeight="1">
      <c r="A28" s="13" t="inlineStr">
        <is>
          <t>№1 от 31.03.2019</t>
        </is>
      </c>
      <c r="B28" s="14" t="inlineStr">
        <is>
          <t>31.03.2019</t>
        </is>
      </c>
      <c r="C28" s="14" t="inlineStr">
        <is>
          <t>10:13</t>
        </is>
      </c>
      <c r="D28" s="14" t="inlineStr">
        <is>
          <t>ГПА №3</t>
        </is>
      </c>
      <c r="E28" s="14" t="inlineStr">
        <is>
          <t>Вынужденный нормальный</t>
        </is>
      </c>
      <c r="F28" s="14" t="inlineStr">
        <is>
          <t>Отказ оборудования КИПиА</t>
        </is>
      </c>
      <c r="G28" s="15"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5" t="inlineStr">
        <is>
          <t>Выполнена переборка узла крепления несущих плат блока модулей ввода/вывода MTL8000 UCP-1 ГПА№3.
Повреждено: Отсутствует</t>
        </is>
      </c>
      <c r="I28" s="15" t="inlineStr">
        <is>
          <t>ГПА №3 выведен в «резерв».
Выполнена переборка узла крепления несущих плат блока модулей ввода/вывода MTL8000 UCP-1 ГПА№3.</t>
        </is>
      </c>
    </row>
    <row r="29" ht="95" customHeight="1">
      <c r="A29" s="13" t="inlineStr">
        <is>
          <t>№2 от 13.04.2019</t>
        </is>
      </c>
      <c r="B29" s="14" t="inlineStr">
        <is>
          <t>13.04.2019</t>
        </is>
      </c>
      <c r="C29" s="14" t="inlineStr">
        <is>
          <t>05:50</t>
        </is>
      </c>
      <c r="D29" s="14" t="inlineStr">
        <is>
          <t>ГПА №1, ГПА №2, ГПА №3</t>
        </is>
      </c>
      <c r="E29" s="14" t="inlineStr">
        <is>
          <t>Автоматический</t>
        </is>
      </c>
      <c r="F29" s="14" t="inlineStr">
        <is>
          <t>Электросеть / переключение агрегатов</t>
        </is>
      </c>
      <c r="G29" s="15"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5"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5"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3" t="inlineStr">
        <is>
          <t>№3 от 20.04.2019</t>
        </is>
      </c>
      <c r="B30" s="14" t="inlineStr">
        <is>
          <t>20.04.2019</t>
        </is>
      </c>
      <c r="C30" s="14" t="inlineStr">
        <is>
          <t>17:20</t>
        </is>
      </c>
      <c r="D30" s="14" t="inlineStr">
        <is>
          <t>ГПА №1, ГПА №2</t>
        </is>
      </c>
      <c r="E30" s="14" t="inlineStr">
        <is>
          <t>Автоматический</t>
        </is>
      </c>
      <c r="F30" s="14" t="inlineStr">
        <is>
          <t>Электросеть / переключение агрегатов</t>
        </is>
      </c>
      <c r="G30" s="15"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5" t="inlineStr">
        <is>
          <t xml:space="preserve">
Повреждено: Не обнаружено</t>
        </is>
      </c>
      <c r="I30" s="15" t="inlineStr">
        <is>
          <t xml:space="preserve">ГПЭС №2 выведен в режим работы, АДЭС выведен в резерв. ГПА №1 в работе, ГПА №2 в резерве.
</t>
        </is>
      </c>
    </row>
    <row r="31" ht="95" customHeight="1">
      <c r="A31" s="13" t="inlineStr">
        <is>
          <t>№4 от 08.05.2019</t>
        </is>
      </c>
      <c r="B31" s="14" t="inlineStr">
        <is>
          <t>08.05.2019</t>
        </is>
      </c>
      <c r="C31" s="14" t="inlineStr">
        <is>
          <t>05:01</t>
        </is>
      </c>
      <c r="D31" s="14" t="inlineStr">
        <is>
          <t>ГПА №3</t>
        </is>
      </c>
      <c r="E31" s="14" t="inlineStr">
        <is>
          <t>Автоматический</t>
        </is>
      </c>
      <c r="F31" s="14" t="inlineStr">
        <is>
          <t>Отказ оборудования КИПиА</t>
        </is>
      </c>
      <c r="G31" s="15"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5"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5"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3" t="inlineStr">
        <is>
          <t>№5 от 18.06.2019</t>
        </is>
      </c>
      <c r="B32" s="14" t="inlineStr">
        <is>
          <t>18.06.2019</t>
        </is>
      </c>
      <c r="C32" s="14" t="inlineStr">
        <is>
          <t>20:10</t>
        </is>
      </c>
      <c r="D32" s="14" t="inlineStr">
        <is>
          <t>ГПА №1, ГПА №3</t>
        </is>
      </c>
      <c r="E32" s="14" t="inlineStr">
        <is>
          <t>Вынужденный нормальный</t>
        </is>
      </c>
      <c r="F32" s="14" t="inlineStr">
        <is>
          <t>Электросеть / переключение агрегатов</t>
        </is>
      </c>
      <c r="G32" s="15"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5"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5"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3" t="inlineStr">
        <is>
          <t>№6 от 21.07.2019</t>
        </is>
      </c>
      <c r="B33" s="14" t="inlineStr">
        <is>
          <t>21.07.2019</t>
        </is>
      </c>
      <c r="C33" s="14" t="inlineStr">
        <is>
          <t>10:24</t>
        </is>
      </c>
      <c r="D33" s="14" t="inlineStr">
        <is>
          <t>ГПА №2, ГПА №3</t>
        </is>
      </c>
      <c r="E33" s="14" t="inlineStr">
        <is>
          <t>Автоматический</t>
        </is>
      </c>
      <c r="F33" s="14" t="inlineStr">
        <is>
          <t>Электросеть / переключение агрегатов</t>
        </is>
      </c>
      <c r="G33" s="15"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5"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5"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3" t="inlineStr">
        <is>
          <t>№1 от 25.04.2025</t>
        </is>
      </c>
      <c r="B34" s="14" t="inlineStr">
        <is>
          <t>25.04.2025</t>
        </is>
      </c>
      <c r="C34" s="14" t="inlineStr">
        <is>
          <t>04:37</t>
        </is>
      </c>
      <c r="D34" s="14" t="inlineStr">
        <is>
          <t>ГПА №1</t>
        </is>
      </c>
      <c r="E34" s="14" t="inlineStr">
        <is>
          <t>Автоматический</t>
        </is>
      </c>
      <c r="F34" s="14" t="inlineStr">
        <is>
          <t>Отказ оборудования КИПиА</t>
        </is>
      </c>
      <c r="G34" s="15"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5"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5"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3" t="inlineStr">
        <is>
          <t>№2 от 02.07.2025</t>
        </is>
      </c>
      <c r="B35" s="14" t="inlineStr">
        <is>
          <t>02.07.2025</t>
        </is>
      </c>
      <c r="C35" s="14" t="inlineStr">
        <is>
          <t>12:15</t>
        </is>
      </c>
      <c r="D35" s="14" t="inlineStr">
        <is>
          <t>ГПА №1, ГПА №3</t>
        </is>
      </c>
      <c r="E35" s="14" t="inlineStr">
        <is>
          <t>Автоматический</t>
        </is>
      </c>
      <c r="F35" s="14" t="inlineStr">
        <is>
          <t>Электросеть / переключение агрегатов</t>
        </is>
      </c>
      <c r="G35" s="15"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5"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5"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3" t="inlineStr">
        <is>
          <t>№3 от 12.07.2025</t>
        </is>
      </c>
      <c r="B36" s="14" t="inlineStr">
        <is>
          <t>12.07.2025</t>
        </is>
      </c>
      <c r="C36" s="14" t="inlineStr">
        <is>
          <t>01:32</t>
        </is>
      </c>
      <c r="D36" s="14" t="inlineStr">
        <is>
          <t>ГПА №1</t>
        </is>
      </c>
      <c r="E36" s="14" t="inlineStr">
        <is>
          <t>Автоматический</t>
        </is>
      </c>
      <c r="F36" s="14" t="inlineStr">
        <is>
          <t>Отказ оборудования КИПиА</t>
        </is>
      </c>
      <c r="G36" s="15"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5"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5"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3" t="inlineStr">
        <is>
          <t>№4 от 24.07.2025</t>
        </is>
      </c>
      <c r="B37" s="14" t="inlineStr">
        <is>
          <t>24.07.2025</t>
        </is>
      </c>
      <c r="C37" s="14" t="inlineStr">
        <is>
          <t>03:04</t>
        </is>
      </c>
      <c r="D37" s="14" t="inlineStr">
        <is>
          <t>ГПА №2, ГПА №3</t>
        </is>
      </c>
      <c r="E37" s="14" t="inlineStr">
        <is>
          <t>Автоматический</t>
        </is>
      </c>
      <c r="F37" s="14" t="inlineStr">
        <is>
          <t>Отказ оборудования КИПиА</t>
        </is>
      </c>
      <c r="G37" s="15"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5"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5"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3" t="inlineStr">
        <is>
          <t>№5 от 03.08.2025</t>
        </is>
      </c>
      <c r="B38" s="14" t="inlineStr">
        <is>
          <t>03.08.2025</t>
        </is>
      </c>
      <c r="C38" s="14" t="inlineStr">
        <is>
          <t>14:52</t>
        </is>
      </c>
      <c r="D38" s="14" t="inlineStr">
        <is>
          <t>ГПА №1, ГПА №3</t>
        </is>
      </c>
      <c r="E38" s="14" t="inlineStr">
        <is>
          <t>Автоматический</t>
        </is>
      </c>
      <c r="F38" s="14" t="inlineStr">
        <is>
          <t>Электросеть / переключение агрегатов</t>
        </is>
      </c>
      <c r="G38" s="15"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5"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5"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3" t="inlineStr">
        <is>
          <t>№6 от 07.08.2025</t>
        </is>
      </c>
      <c r="B39" s="14" t="inlineStr">
        <is>
          <t>07.08.2025</t>
        </is>
      </c>
      <c r="C39" s="14" t="inlineStr">
        <is>
          <t>13:14</t>
        </is>
      </c>
      <c r="D39" s="14" t="inlineStr">
        <is>
          <t>ГПА №1</t>
        </is>
      </c>
      <c r="E39" s="14" t="inlineStr">
        <is>
          <t>Автоматический</t>
        </is>
      </c>
      <c r="F39" s="14" t="inlineStr">
        <is>
          <t>Отказ оборудования КИПиА</t>
        </is>
      </c>
      <c r="G39" s="15"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5"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5"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3" t="inlineStr">
        <is>
          <t>№7 от 08.08.2025</t>
        </is>
      </c>
      <c r="B40" s="14" t="inlineStr">
        <is>
          <t>08.08.2025</t>
        </is>
      </c>
      <c r="C40" s="14" t="inlineStr">
        <is>
          <t>14:35</t>
        </is>
      </c>
      <c r="D40" s="14" t="inlineStr">
        <is>
          <t>ГПА №3</t>
        </is>
      </c>
      <c r="E40" s="14" t="inlineStr">
        <is>
          <t>Автоматический</t>
        </is>
      </c>
      <c r="F40" s="14" t="inlineStr">
        <is>
          <t>Человеческий фактор</t>
        </is>
      </c>
      <c r="G40" s="15"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5"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5"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3" t="inlineStr">
        <is>
          <t>№8 от 14.09.2025</t>
        </is>
      </c>
      <c r="B41" s="14" t="inlineStr">
        <is>
          <t>14.09.2025</t>
        </is>
      </c>
      <c r="C41" s="14" t="inlineStr">
        <is>
          <t>11:01</t>
        </is>
      </c>
      <c r="D41" s="14" t="inlineStr">
        <is>
          <t>ГПА №3</t>
        </is>
      </c>
      <c r="E41" s="14" t="inlineStr">
        <is>
          <t>Вынужденный нормальный</t>
        </is>
      </c>
      <c r="F41" s="14" t="inlineStr">
        <is>
          <t>Технологическое ограничение при переключении</t>
        </is>
      </c>
      <c r="G41" s="15"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5" t="inlineStr">
        <is>
          <t>Вынужденный нормальный останов ГПА№3 (ВНО) и перепуск ГПА№1. Запуск ГПА№1 произведён в 11:01.</t>
        </is>
      </c>
      <c r="I41" s="15"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3" t="inlineStr">
        <is>
          <t>№10 от 18.11.2025</t>
        </is>
      </c>
      <c r="B42" s="14" t="inlineStr">
        <is>
          <t>18.11.2025</t>
        </is>
      </c>
      <c r="C42" s="14" t="inlineStr">
        <is>
          <t>09:40</t>
        </is>
      </c>
      <c r="D42" s="14" t="inlineStr">
        <is>
          <t>ГПА №1</t>
        </is>
      </c>
      <c r="E42" s="14" t="inlineStr">
        <is>
          <t>Автоматический</t>
        </is>
      </c>
      <c r="F42" s="14" t="inlineStr">
        <is>
          <t>Отказ оборудования КИПиА</t>
        </is>
      </c>
      <c r="G42" s="15"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5"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5"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3" t="inlineStr">
        <is>
          <t>№10 от 19.11.2025</t>
        </is>
      </c>
      <c r="B43" s="14" t="inlineStr">
        <is>
          <t>19.11.2025</t>
        </is>
      </c>
      <c r="C43" s="14" t="inlineStr">
        <is>
          <t>09:08</t>
        </is>
      </c>
      <c r="D43" s="14" t="inlineStr">
        <is>
          <t>ГПА №1</t>
        </is>
      </c>
      <c r="E43" s="14" t="inlineStr">
        <is>
          <t>Автоматический</t>
        </is>
      </c>
      <c r="F43" s="14" t="inlineStr">
        <is>
          <t>Отказ оборудования КИПиА</t>
        </is>
      </c>
      <c r="G43" s="15"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5"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5"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8"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COUNTIF('Инциденты_детально'!$F$4:$F$43,A4)</f>
        <v/>
      </c>
      <c r="C4" s="16">
        <f>B4/40</f>
        <v/>
      </c>
    </row>
    <row r="5">
      <c r="A5" s="3" t="inlineStr">
        <is>
          <t>Ложное срабатывание КИП</t>
        </is>
      </c>
      <c r="B5" s="3">
        <f>COUNTIF('Инциденты_детально'!$F$4:$F$43,A5)</f>
        <v/>
      </c>
      <c r="C5" s="16">
        <f>B5/40</f>
        <v/>
      </c>
    </row>
    <row r="6">
      <c r="A6" s="3" t="inlineStr">
        <is>
          <t>Ложное срабатывание КИП / связь</t>
        </is>
      </c>
      <c r="B6" s="3">
        <f>COUNTIF('Инциденты_детально'!$F$4:$F$43,A6)</f>
        <v/>
      </c>
      <c r="C6" s="16">
        <f>B6/40</f>
        <v/>
      </c>
    </row>
    <row r="7">
      <c r="A7" s="3" t="inlineStr">
        <is>
          <t>Настройка/калибровка камеры сгорания (DLE)</t>
        </is>
      </c>
      <c r="B7" s="3">
        <f>COUNTIF('Инциденты_детально'!$F$4:$F$43,A7)</f>
        <v/>
      </c>
      <c r="C7" s="16">
        <f>B7/40</f>
        <v/>
      </c>
    </row>
    <row r="8">
      <c r="A8" s="3" t="inlineStr">
        <is>
          <t>Отказ оборудования КИПиА</t>
        </is>
      </c>
      <c r="B8" s="3">
        <f>COUNTIF('Инциденты_детально'!$F$4:$F$43,A8)</f>
        <v/>
      </c>
      <c r="C8" s="16">
        <f>B8/40</f>
        <v/>
      </c>
    </row>
    <row r="9">
      <c r="A9" s="3" t="inlineStr">
        <is>
          <t>Техническая неисправность (вспомогательные системы)</t>
        </is>
      </c>
      <c r="B9" s="3">
        <f>COUNTIF('Инциденты_детально'!$F$4:$F$43,A9)</f>
        <v/>
      </c>
      <c r="C9" s="16">
        <f>B9/40</f>
        <v/>
      </c>
    </row>
    <row r="10">
      <c r="A10" s="3" t="inlineStr">
        <is>
          <t>Техническая неисправность оборудования</t>
        </is>
      </c>
      <c r="B10" s="3">
        <f>COUNTIF('Инциденты_детально'!$F$4:$F$43,A10)</f>
        <v/>
      </c>
      <c r="C10" s="16">
        <f>B10/40</f>
        <v/>
      </c>
    </row>
    <row r="11">
      <c r="A11" s="3" t="inlineStr">
        <is>
          <t>Технологическое ограничение при переключении</t>
        </is>
      </c>
      <c r="B11" s="3">
        <f>COUNTIF('Инциденты_детально'!$F$4:$F$43,A11)</f>
        <v/>
      </c>
      <c r="C11" s="16">
        <f>B11/40</f>
        <v/>
      </c>
    </row>
    <row r="12">
      <c r="A12" s="3" t="inlineStr">
        <is>
          <t>Человеческий фактор</t>
        </is>
      </c>
      <c r="B12" s="3">
        <f>COUNTIF('Инциденты_детально'!$F$4:$F$43,A12)</f>
        <v/>
      </c>
      <c r="C12" s="16">
        <f>B12/40</f>
        <v/>
      </c>
    </row>
    <row r="13">
      <c r="A13" s="3" t="inlineStr">
        <is>
          <t>Электросеть / переключение агрегатов</t>
        </is>
      </c>
      <c r="B13" s="3">
        <f>COUNTIF('Инциденты_детально'!$F$4:$F$43,A13)</f>
        <v/>
      </c>
      <c r="C13" s="16">
        <f>B13/40</f>
        <v/>
      </c>
    </row>
    <row r="14">
      <c r="A14" s="3" t="inlineStr">
        <is>
          <t>Электросеть / синхронизация агрегатов</t>
        </is>
      </c>
      <c r="B14" s="3">
        <f>COUNTIF('Инциденты_детально'!$F$4:$F$43,A14)</f>
        <v/>
      </c>
      <c r="C14" s="16">
        <f>B14/40</f>
        <v/>
      </c>
    </row>
    <row r="15">
      <c r="A15" s="17" t="inlineStr">
        <is>
          <t>ИТОГО инцидентов</t>
        </is>
      </c>
      <c r="B15" s="17">
        <f>SUM(B4:B14)</f>
        <v/>
      </c>
      <c r="C15" s="18">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8" t="inlineStr">
        <is>
          <t>РЕЕСТР РАБОТ ПО УСТРАНЕНИЮ ДЕФЕКТОВ</t>
        </is>
      </c>
    </row>
    <row r="3">
      <c r="A3" s="12" t="inlineStr">
        <is>
          <t>Привязка к аварии (акт/дата)</t>
        </is>
      </c>
      <c r="B3" s="12" t="inlineStr">
        <is>
          <t>ГПА</t>
        </is>
      </c>
      <c r="C3" s="12" t="inlineStr">
        <is>
          <t>№ дефектного акта</t>
        </is>
      </c>
      <c r="D3" s="12" t="inlineStr">
        <is>
          <t>Описание дефекта</t>
        </is>
      </c>
      <c r="E3" s="12" t="inlineStr">
        <is>
          <t>Описание выполненных работ</t>
        </is>
      </c>
      <c r="F3" s="12" t="inlineStr">
        <is>
          <t>№ акта вып. работ</t>
        </is>
      </c>
      <c r="G3" s="12" t="inlineStr">
        <is>
          <t>Дата выполнения</t>
        </is>
      </c>
      <c r="H3" s="12" t="inlineStr">
        <is>
          <t>Статус</t>
        </is>
      </c>
      <c r="I3" s="12" t="inlineStr">
        <is>
          <t>Дефектный акт</t>
        </is>
      </c>
      <c r="J3" s="12" t="inlineStr">
        <is>
          <t>Акт вып. работ</t>
        </is>
      </c>
    </row>
    <row r="4" ht="55" customHeight="1">
      <c r="A4" s="14" t="inlineStr">
        <is>
          <t>№2 от 14.04.2023</t>
        </is>
      </c>
      <c r="B4" s="14" t="inlineStr">
        <is>
          <t>ГПА №2</t>
        </is>
      </c>
      <c r="C4" s="13" t="inlineStr"/>
      <c r="D4" s="15" t="inlineStr"/>
      <c r="E4" s="15"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3" t="inlineStr"/>
      <c r="G4" s="14" t="inlineStr">
        <is>
          <t>23.05.2026</t>
        </is>
      </c>
      <c r="H4" s="19" t="inlineStr">
        <is>
          <t>выполнено</t>
        </is>
      </c>
      <c r="I4" s="20" t="n"/>
      <c r="J4" s="21" t="inlineStr">
        <is>
          <t>Открыть акт вып. работ</t>
        </is>
      </c>
    </row>
    <row r="5" ht="55" customHeight="1">
      <c r="A5" s="14" t="inlineStr">
        <is>
          <t>№4 от 01.06.2023</t>
        </is>
      </c>
      <c r="B5" s="14" t="inlineStr">
        <is>
          <t>ГПА №2</t>
        </is>
      </c>
      <c r="C5" s="13" t="inlineStr"/>
      <c r="D5" s="15" t="inlineStr"/>
      <c r="E5" s="15"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3" t="inlineStr"/>
      <c r="G5" s="14" t="inlineStr">
        <is>
          <t>04.06.2023</t>
        </is>
      </c>
      <c r="H5" s="19" t="inlineStr">
        <is>
          <t>выполнено</t>
        </is>
      </c>
      <c r="I5" s="20" t="n"/>
      <c r="J5" s="21" t="inlineStr">
        <is>
          <t>Открыть акт вып. работ</t>
        </is>
      </c>
    </row>
    <row r="6" ht="55" customHeight="1">
      <c r="A6" s="14" t="inlineStr">
        <is>
          <t>— (плановая инспекция) от 11.12.2021</t>
        </is>
      </c>
      <c r="B6" s="14" t="inlineStr">
        <is>
          <t>ГПА №1</t>
        </is>
      </c>
      <c r="C6" s="13" t="inlineStr">
        <is>
          <t>№62/21</t>
        </is>
      </c>
      <c r="D6" s="15"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5"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3" t="inlineStr">
        <is>
          <t>Акт выполненных работ от 11.12.2021</t>
        </is>
      </c>
      <c r="G6" s="14" t="inlineStr">
        <is>
          <t>11.12.2021</t>
        </is>
      </c>
      <c r="H6" s="19" t="inlineStr">
        <is>
          <t>выполнено</t>
        </is>
      </c>
      <c r="I6" s="21" t="inlineStr">
        <is>
          <t>Открыть дефектный акт</t>
        </is>
      </c>
      <c r="J6" s="21"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8" t="inlineStr">
        <is>
          <t>ЖУРНАЛ ИСТОЧНИКОВ ДАННЫХ</t>
        </is>
      </c>
    </row>
    <row r="3">
      <c r="A3" s="2" t="inlineStr">
        <is>
          <t>№</t>
        </is>
      </c>
      <c r="B3" s="2" t="inlineStr">
        <is>
          <t>Акт</t>
        </is>
      </c>
      <c r="C3" s="2" t="inlineStr">
        <is>
          <t>Файл</t>
        </is>
      </c>
      <c r="D3" s="2" t="inlineStr">
        <is>
          <t>Дата акта</t>
        </is>
      </c>
    </row>
    <row r="4">
      <c r="A4" s="14" t="n">
        <v>1</v>
      </c>
      <c r="B4" s="14" t="inlineStr">
        <is>
          <t>№1</t>
        </is>
      </c>
      <c r="C4" s="14" t="inlineStr">
        <is>
          <t>act01_investigation.pdf</t>
        </is>
      </c>
      <c r="D4" s="14" t="inlineStr">
        <is>
          <t>10.06.2020</t>
        </is>
      </c>
    </row>
    <row r="5">
      <c r="A5" s="14" t="n">
        <v>2</v>
      </c>
      <c r="B5" s="14" t="inlineStr">
        <is>
          <t>№1</t>
        </is>
      </c>
      <c r="C5" s="14" t="inlineStr">
        <is>
          <t>act02_investigation.pdf</t>
        </is>
      </c>
      <c r="D5" s="14" t="inlineStr">
        <is>
          <t>01.02.2022</t>
        </is>
      </c>
    </row>
    <row r="6">
      <c r="A6" s="14" t="n">
        <v>3</v>
      </c>
      <c r="B6" s="14" t="inlineStr">
        <is>
          <t>№2</t>
        </is>
      </c>
      <c r="C6" s="14" t="inlineStr">
        <is>
          <t>act03_investigation.pdf</t>
        </is>
      </c>
      <c r="D6" s="14" t="inlineStr">
        <is>
          <t>11.03.2022</t>
        </is>
      </c>
    </row>
    <row r="7">
      <c r="A7" s="14" t="n">
        <v>4</v>
      </c>
      <c r="B7" s="14" t="inlineStr">
        <is>
          <t>№3</t>
        </is>
      </c>
      <c r="C7" s="14" t="inlineStr">
        <is>
          <t>act04_investigation.pdf</t>
        </is>
      </c>
      <c r="D7" s="14" t="inlineStr">
        <is>
          <t>25.04.2022</t>
        </is>
      </c>
    </row>
    <row r="8">
      <c r="A8" s="14" t="n">
        <v>5</v>
      </c>
      <c r="B8" s="14" t="inlineStr">
        <is>
          <t>№5</t>
        </is>
      </c>
      <c r="C8" s="14" t="inlineStr">
        <is>
          <t>act05_investigation.pdf</t>
        </is>
      </c>
      <c r="D8" s="14" t="inlineStr">
        <is>
          <t>07.06.2022</t>
        </is>
      </c>
    </row>
    <row r="9">
      <c r="A9" s="14" t="n">
        <v>6</v>
      </c>
      <c r="B9" s="14" t="inlineStr">
        <is>
          <t>№1</t>
        </is>
      </c>
      <c r="C9" s="14" t="inlineStr">
        <is>
          <t>act06_investigation.pdf</t>
        </is>
      </c>
      <c r="D9" s="14" t="inlineStr">
        <is>
          <t>11.03.2023</t>
        </is>
      </c>
    </row>
    <row r="10">
      <c r="A10" s="14" t="n">
        <v>7</v>
      </c>
      <c r="B10" s="14" t="inlineStr">
        <is>
          <t>№2</t>
        </is>
      </c>
      <c r="C10" s="14" t="inlineStr">
        <is>
          <t>act07_investigation.pdf</t>
        </is>
      </c>
      <c r="D10" s="14" t="inlineStr">
        <is>
          <t>14.04.2023</t>
        </is>
      </c>
    </row>
    <row r="11">
      <c r="A11" s="14" t="n">
        <v>8</v>
      </c>
      <c r="B11" s="14" t="inlineStr">
        <is>
          <t>№5</t>
        </is>
      </c>
      <c r="C11" s="14" t="inlineStr">
        <is>
          <t>act08_investigation.pdf</t>
        </is>
      </c>
      <c r="D11" s="14" t="inlineStr">
        <is>
          <t>06.06.2023</t>
        </is>
      </c>
    </row>
    <row r="12">
      <c r="A12" s="14" t="n">
        <v>9</v>
      </c>
      <c r="B12" s="14" t="inlineStr">
        <is>
          <t>№1</t>
        </is>
      </c>
      <c r="C12" s="14" t="inlineStr">
        <is>
          <t>act09_investigation.pdf</t>
        </is>
      </c>
      <c r="D12" s="14" t="inlineStr">
        <is>
          <t>04.03.2024</t>
        </is>
      </c>
    </row>
    <row r="13">
      <c r="A13" s="14" t="n">
        <v>10</v>
      </c>
      <c r="B13" s="14" t="inlineStr">
        <is>
          <t>№2</t>
        </is>
      </c>
      <c r="C13" s="14" t="inlineStr">
        <is>
          <t>act10_investigation.pdf</t>
        </is>
      </c>
      <c r="D13" s="14" t="inlineStr">
        <is>
          <t>11.03.2024</t>
        </is>
      </c>
    </row>
    <row r="14">
      <c r="A14" s="14" t="n">
        <v>11</v>
      </c>
      <c r="B14" s="14" t="inlineStr">
        <is>
          <t>№3</t>
        </is>
      </c>
      <c r="C14" s="14" t="inlineStr">
        <is>
          <t>act11_investigation.pdf</t>
        </is>
      </c>
      <c r="D14" s="14" t="inlineStr">
        <is>
          <t>10.05.2024</t>
        </is>
      </c>
    </row>
    <row r="15">
      <c r="A15" s="14" t="n">
        <v>12</v>
      </c>
      <c r="B15" s="14" t="inlineStr">
        <is>
          <t>№4</t>
        </is>
      </c>
      <c r="C15" s="14" t="inlineStr">
        <is>
          <t>act12_investigation.pdf</t>
        </is>
      </c>
      <c r="D15" s="14" t="inlineStr">
        <is>
          <t>28.12.2024</t>
        </is>
      </c>
    </row>
    <row r="16">
      <c r="A16" s="14" t="n">
        <v>13</v>
      </c>
      <c r="B16" s="14" t="inlineStr">
        <is>
          <t>№1</t>
        </is>
      </c>
      <c r="C16" s="14" t="inlineStr">
        <is>
          <t>act13_investigation.pdf</t>
        </is>
      </c>
      <c r="D16" s="14" t="inlineStr">
        <is>
          <t>02.05.2025</t>
        </is>
      </c>
    </row>
    <row r="17">
      <c r="A17" s="14" t="n">
        <v>14</v>
      </c>
      <c r="B17" s="14" t="inlineStr">
        <is>
          <t>№1</t>
        </is>
      </c>
      <c r="C17" s="14" t="inlineStr">
        <is>
          <t>act14_investigation.pdf</t>
        </is>
      </c>
      <c r="D17" s="14" t="inlineStr">
        <is>
          <t>27.04.2026</t>
        </is>
      </c>
    </row>
    <row r="18">
      <c r="A18" s="14" t="n">
        <v>15</v>
      </c>
      <c r="B18" s="14" t="inlineStr">
        <is>
          <t>№4</t>
        </is>
      </c>
      <c r="C18" s="14" t="inlineStr">
        <is>
          <t>act15_investigation.pdf</t>
        </is>
      </c>
      <c r="D18" s="14" t="inlineStr">
        <is>
          <t>01.06.2023</t>
        </is>
      </c>
    </row>
    <row r="19">
      <c r="A19" s="14" t="n">
        <v>16</v>
      </c>
      <c r="B19" s="14" t="inlineStr">
        <is>
          <t>№3</t>
        </is>
      </c>
      <c r="C19" s="14" t="inlineStr">
        <is>
          <t>act20_investigation.pdf</t>
        </is>
      </c>
      <c r="D19" s="14" t="inlineStr">
        <is>
          <t>07.03.2018</t>
        </is>
      </c>
    </row>
    <row r="20">
      <c r="A20" s="14" t="n">
        <v>17</v>
      </c>
      <c r="B20" s="14" t="inlineStr">
        <is>
          <t>№4</t>
        </is>
      </c>
      <c r="C20" s="14" t="inlineStr">
        <is>
          <t>act23_investigation.pdf</t>
        </is>
      </c>
      <c r="D20" s="14" t="inlineStr">
        <is>
          <t>30.03.2018</t>
        </is>
      </c>
    </row>
    <row r="21">
      <c r="A21" s="14" t="n">
        <v>18</v>
      </c>
      <c r="B21" s="14" t="inlineStr">
        <is>
          <t>№6</t>
        </is>
      </c>
      <c r="C21" s="14" t="inlineStr">
        <is>
          <t>act22_investigation.pdf</t>
        </is>
      </c>
      <c r="D21" s="14" t="inlineStr">
        <is>
          <t>24.05.2018</t>
        </is>
      </c>
    </row>
    <row r="22">
      <c r="A22" s="14" t="n">
        <v>19</v>
      </c>
      <c r="B22" s="14" t="inlineStr">
        <is>
          <t>№7</t>
        </is>
      </c>
      <c r="C22" s="14" t="inlineStr">
        <is>
          <t>act21_investigation.pdf</t>
        </is>
      </c>
      <c r="D22" s="14" t="inlineStr">
        <is>
          <t>28.05.2018</t>
        </is>
      </c>
    </row>
    <row r="23">
      <c r="A23" s="14" t="n">
        <v>20</v>
      </c>
      <c r="B23" s="14" t="inlineStr">
        <is>
          <t>№1</t>
        </is>
      </c>
      <c r="C23" s="14" t="inlineStr">
        <is>
          <t>act24_investigation.pdf</t>
        </is>
      </c>
      <c r="D23" s="14" t="inlineStr">
        <is>
          <t>03.02.2018</t>
        </is>
      </c>
    </row>
    <row r="24">
      <c r="A24" s="14" t="n">
        <v>21</v>
      </c>
      <c r="B24" s="14" t="inlineStr">
        <is>
          <t>№2</t>
        </is>
      </c>
      <c r="C24" s="14" t="inlineStr">
        <is>
          <t>act25_investigation.pdf</t>
        </is>
      </c>
      <c r="D24" s="14" t="inlineStr">
        <is>
          <t>21.02.2018</t>
        </is>
      </c>
    </row>
    <row r="25">
      <c r="A25" s="14" t="n">
        <v>22</v>
      </c>
      <c r="B25" s="14" t="inlineStr">
        <is>
          <t>№5</t>
        </is>
      </c>
      <c r="C25" s="14" t="inlineStr">
        <is>
          <t>act26_investigation.pdf</t>
        </is>
      </c>
      <c r="D25" s="14" t="inlineStr">
        <is>
          <t>30.03.2018</t>
        </is>
      </c>
    </row>
    <row r="26">
      <c r="A26" s="14" t="n">
        <v>23</v>
      </c>
      <c r="B26" s="14" t="inlineStr">
        <is>
          <t>№8</t>
        </is>
      </c>
      <c r="C26" s="14" t="inlineStr">
        <is>
          <t>act27_investigation.pdf</t>
        </is>
      </c>
      <c r="D26" s="14" t="inlineStr">
        <is>
          <t>25.06.2018</t>
        </is>
      </c>
    </row>
    <row r="27">
      <c r="A27" s="14" t="n">
        <v>24</v>
      </c>
      <c r="B27" s="14" t="inlineStr">
        <is>
          <t>№9</t>
        </is>
      </c>
      <c r="C27" s="14" t="inlineStr">
        <is>
          <t>act28_investigation.pdf</t>
        </is>
      </c>
      <c r="D27" s="14" t="inlineStr">
        <is>
          <t>26.06.2018</t>
        </is>
      </c>
    </row>
    <row r="28">
      <c r="A28" s="14" t="n">
        <v>25</v>
      </c>
      <c r="B28" s="14" t="inlineStr">
        <is>
          <t>№1</t>
        </is>
      </c>
      <c r="C28" s="14" t="inlineStr">
        <is>
          <t>act29_investigation.pdf</t>
        </is>
      </c>
      <c r="D28" s="14" t="inlineStr">
        <is>
          <t>31.03.2019</t>
        </is>
      </c>
    </row>
    <row r="29">
      <c r="A29" s="14" t="n">
        <v>26</v>
      </c>
      <c r="B29" s="14" t="inlineStr">
        <is>
          <t>№2</t>
        </is>
      </c>
      <c r="C29" s="14" t="inlineStr">
        <is>
          <t>act30_investigation.pdf</t>
        </is>
      </c>
      <c r="D29" s="14" t="inlineStr">
        <is>
          <t>13.04.2019</t>
        </is>
      </c>
    </row>
    <row r="30">
      <c r="A30" s="14" t="n">
        <v>27</v>
      </c>
      <c r="B30" s="14" t="inlineStr">
        <is>
          <t>№3</t>
        </is>
      </c>
      <c r="C30" s="14" t="inlineStr">
        <is>
          <t>act31_investigation.pdf</t>
        </is>
      </c>
      <c r="D30" s="14" t="inlineStr">
        <is>
          <t>20.04.2019</t>
        </is>
      </c>
    </row>
    <row r="31">
      <c r="A31" s="14" t="n">
        <v>28</v>
      </c>
      <c r="B31" s="14" t="inlineStr">
        <is>
          <t>№4</t>
        </is>
      </c>
      <c r="C31" s="14" t="inlineStr">
        <is>
          <t>act32_investigation.pdf</t>
        </is>
      </c>
      <c r="D31" s="14" t="inlineStr">
        <is>
          <t>08.05.2019</t>
        </is>
      </c>
    </row>
    <row r="32">
      <c r="A32" s="14" t="n">
        <v>29</v>
      </c>
      <c r="B32" s="14" t="inlineStr">
        <is>
          <t>№5</t>
        </is>
      </c>
      <c r="C32" s="14" t="inlineStr">
        <is>
          <t>act33_investigation.pdf</t>
        </is>
      </c>
      <c r="D32" s="14" t="inlineStr">
        <is>
          <t>18.06.2019</t>
        </is>
      </c>
    </row>
    <row r="33">
      <c r="A33" s="14" t="n">
        <v>30</v>
      </c>
      <c r="B33" s="14" t="inlineStr">
        <is>
          <t>№6</t>
        </is>
      </c>
      <c r="C33" s="14" t="inlineStr">
        <is>
          <t>act34_investigation.pdf</t>
        </is>
      </c>
      <c r="D33" s="14" t="inlineStr">
        <is>
          <t>21.07.2019</t>
        </is>
      </c>
    </row>
    <row r="34">
      <c r="A34" s="14" t="n">
        <v>31</v>
      </c>
      <c r="B34" s="14" t="inlineStr">
        <is>
          <t>№1</t>
        </is>
      </c>
      <c r="C34" s="14" t="inlineStr">
        <is>
          <t>kc2_act01_investigation.pdf</t>
        </is>
      </c>
      <c r="D34" s="14" t="inlineStr">
        <is>
          <t>25.04.2025</t>
        </is>
      </c>
    </row>
    <row r="35">
      <c r="A35" s="14" t="n">
        <v>32</v>
      </c>
      <c r="B35" s="14" t="inlineStr">
        <is>
          <t>№2</t>
        </is>
      </c>
      <c r="C35" s="14" t="inlineStr">
        <is>
          <t>kc2_act02_investigation.pdf</t>
        </is>
      </c>
      <c r="D35" s="14" t="inlineStr">
        <is>
          <t>02.07.2025</t>
        </is>
      </c>
    </row>
    <row r="36">
      <c r="A36" s="14" t="n">
        <v>33</v>
      </c>
      <c r="B36" s="14" t="inlineStr">
        <is>
          <t>№3</t>
        </is>
      </c>
      <c r="C36" s="14" t="inlineStr">
        <is>
          <t>kc2_act03_investigation.pdf</t>
        </is>
      </c>
      <c r="D36" s="14" t="inlineStr">
        <is>
          <t>12.07.2025</t>
        </is>
      </c>
    </row>
    <row r="37">
      <c r="A37" s="14" t="n">
        <v>34</v>
      </c>
      <c r="B37" s="14" t="inlineStr">
        <is>
          <t>№4</t>
        </is>
      </c>
      <c r="C37" s="14" t="inlineStr">
        <is>
          <t>kc2_act04_investigation.pdf</t>
        </is>
      </c>
      <c r="D37" s="14" t="inlineStr">
        <is>
          <t>24.07.2025</t>
        </is>
      </c>
    </row>
    <row r="38">
      <c r="A38" s="14" t="n">
        <v>35</v>
      </c>
      <c r="B38" s="14" t="inlineStr">
        <is>
          <t>№5</t>
        </is>
      </c>
      <c r="C38" s="14" t="inlineStr">
        <is>
          <t>kc2_act05_investigation.pdf</t>
        </is>
      </c>
      <c r="D38" s="14" t="inlineStr">
        <is>
          <t>03.08.2025</t>
        </is>
      </c>
    </row>
    <row r="39">
      <c r="A39" s="14" t="n">
        <v>36</v>
      </c>
      <c r="B39" s="14" t="inlineStr">
        <is>
          <t>№6</t>
        </is>
      </c>
      <c r="C39" s="14" t="inlineStr">
        <is>
          <t>kc2_act06_investigation.pdf</t>
        </is>
      </c>
      <c r="D39" s="14" t="inlineStr">
        <is>
          <t>07.08.2025</t>
        </is>
      </c>
    </row>
    <row r="40">
      <c r="A40" s="14" t="n">
        <v>37</v>
      </c>
      <c r="B40" s="14" t="inlineStr">
        <is>
          <t>№7</t>
        </is>
      </c>
      <c r="C40" s="14" t="inlineStr">
        <is>
          <t>kc2_act07_investigation.pdf</t>
        </is>
      </c>
      <c r="D40" s="14" t="inlineStr">
        <is>
          <t>08.08.2025</t>
        </is>
      </c>
    </row>
    <row r="41">
      <c r="A41" s="14" t="n">
        <v>38</v>
      </c>
      <c r="B41" s="14" t="inlineStr">
        <is>
          <t>№8</t>
        </is>
      </c>
      <c r="C41" s="14" t="inlineStr">
        <is>
          <t>kc2_act08_investigation.pdf</t>
        </is>
      </c>
      <c r="D41" s="14" t="inlineStr">
        <is>
          <t>14.09.2025</t>
        </is>
      </c>
    </row>
    <row r="42">
      <c r="A42" s="14" t="n">
        <v>39</v>
      </c>
      <c r="B42" s="14" t="inlineStr">
        <is>
          <t>№10</t>
        </is>
      </c>
      <c r="C42" s="14" t="inlineStr">
        <is>
          <t>kc2_act10_investigation.pdf</t>
        </is>
      </c>
      <c r="D42" s="14" t="inlineStr">
        <is>
          <t>18.11.2025</t>
        </is>
      </c>
    </row>
    <row r="43">
      <c r="A43" s="14" t="n">
        <v>40</v>
      </c>
      <c r="B43" s="14" t="inlineStr">
        <is>
          <t>№10</t>
        </is>
      </c>
      <c r="C43" s="14" t="inlineStr">
        <is>
          <t>kc2_act10_investigation.pdf</t>
        </is>
      </c>
      <c r="D43" s="14" t="inlineStr">
        <is>
          <t>19.11.2025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2026-09-08T10:12:22Z</dcterms:created>
  <dcterms:modified xmlns:dcterms="http://purl.org/dc/terms/" xmlns:xsi="http://www.w3.org/2001/XMLSchema-instance" xsi:type="dcterms:W3CDTF">2026-09-08T10:12:22Z</dcterms:modified>
</cp:coreProperties>
</file>